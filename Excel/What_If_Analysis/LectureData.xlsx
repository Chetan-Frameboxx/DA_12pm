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A_2_30PM_Chetan_Sharma\Excel\What_If_Analysis\"/>
    </mc:Choice>
  </mc:AlternateContent>
  <xr:revisionPtr revIDLastSave="0" documentId="13_ncr:1_{B077C91C-9F3D-468A-81D6-9E50C29B5914}" xr6:coauthVersionLast="36" xr6:coauthVersionMax="36" xr10:uidLastSave="{00000000-0000-0000-0000-000000000000}"/>
  <bookViews>
    <workbookView xWindow="0" yWindow="0" windowWidth="23040" windowHeight="9060" activeTab="5" xr2:uid="{B8B2ECA4-00E8-4A03-9182-F0D0F8B356AD}"/>
  </bookViews>
  <sheets>
    <sheet name="Dashboard" sheetId="4" r:id="rId1"/>
    <sheet name="ProductData" sheetId="1" r:id="rId2"/>
    <sheet name="SalesData" sheetId="2" r:id="rId3"/>
    <sheet name="Sheet1" sheetId="5" r:id="rId4"/>
    <sheet name="Sheet2" sheetId="6" r:id="rId5"/>
    <sheet name="Scenario Summary" sheetId="11" r:id="rId6"/>
    <sheet name="Sheet3" sheetId="7" r:id="rId7"/>
  </sheets>
  <definedNames>
    <definedName name="_xlcn.WorksheetConnection_Book1ProductData" hidden="1">ProductData[]</definedName>
    <definedName name="_xlcn.WorksheetConnection_Book1SalesData" hidden="1">SalesData[]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Data" name="ProductData" connection="WorksheetConnection_Book1!ProductData"/>
          <x15:modelTable id="SalesData" name="SalesData" connection="WorksheetConnection_Book1!SalesData"/>
        </x15:modelTables>
        <x15:modelRelationships>
          <x15:modelRelationship fromTable="SalesData" fromColumn="ProductID" toTable="ProductData" toColumn="ProductID"/>
        </x15:modelRelationships>
      </x15:dataModel>
    </ext>
  </extLst>
</workbook>
</file>

<file path=xl/calcChain.xml><?xml version="1.0" encoding="utf-8"?>
<calcChain xmlns="http://schemas.openxmlformats.org/spreadsheetml/2006/main">
  <c r="C10" i="7" l="1"/>
  <c r="C8" i="7"/>
  <c r="D9" i="6"/>
  <c r="C9" i="7" l="1"/>
  <c r="C11" i="7" s="1"/>
  <c r="C12" i="7" s="1"/>
  <c r="H3" i="6"/>
  <c r="J3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505A33-2FCC-4780-ADFA-951BB4ADC51E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94BBEF1-DF52-467B-9DB0-B8FE08D45E98}" name="WorksheetConnection_Book1!ProductData" type="102" refreshedVersion="6" minRefreshableVersion="5">
    <extLst>
      <ext xmlns:x15="http://schemas.microsoft.com/office/spreadsheetml/2010/11/main" uri="{DE250136-89BD-433C-8126-D09CA5730AF9}">
        <x15:connection id="ProductData" autoDelete="1">
          <x15:rangePr sourceName="_xlcn.WorksheetConnection_Book1ProductData"/>
        </x15:connection>
      </ext>
    </extLst>
  </connection>
  <connection id="3" xr16:uid="{A6242111-BB62-4437-A8F9-786FCA13AF3D}" name="WorksheetConnection_Book1!SalesData" type="102" refreshedVersion="6" minRefreshableVersion="5">
    <extLst>
      <ext xmlns:x15="http://schemas.microsoft.com/office/spreadsheetml/2010/11/main" uri="{DE250136-89BD-433C-8126-D09CA5730AF9}">
        <x15:connection id="SalesData">
          <x15:rangePr sourceName="_xlcn.WorksheetConnection_Book1SalesData"/>
        </x15:connection>
      </ext>
    </extLst>
  </connection>
</connections>
</file>

<file path=xl/sharedStrings.xml><?xml version="1.0" encoding="utf-8"?>
<sst xmlns="http://schemas.openxmlformats.org/spreadsheetml/2006/main" count="979" uniqueCount="78">
  <si>
    <t>ProductID</t>
  </si>
  <si>
    <t>ProductName</t>
  </si>
  <si>
    <t>Category</t>
  </si>
  <si>
    <t>UnitPrice</t>
  </si>
  <si>
    <t>Laptop</t>
  </si>
  <si>
    <t>Electronics</t>
  </si>
  <si>
    <t>Mouse</t>
  </si>
  <si>
    <t>Accessories</t>
  </si>
  <si>
    <t>Keyboard</t>
  </si>
  <si>
    <t>Monitor</t>
  </si>
  <si>
    <t>Printer</t>
  </si>
  <si>
    <t>Router</t>
  </si>
  <si>
    <t>Networking</t>
  </si>
  <si>
    <t>Smartphone</t>
  </si>
  <si>
    <t>Tablet</t>
  </si>
  <si>
    <t>Webcam</t>
  </si>
  <si>
    <t>Headphones</t>
  </si>
  <si>
    <t>Smartwatch</t>
  </si>
  <si>
    <t>Speaker</t>
  </si>
  <si>
    <t>Hard Drive</t>
  </si>
  <si>
    <t>Storage</t>
  </si>
  <si>
    <t>SSD</t>
  </si>
  <si>
    <t>Power Bank</t>
  </si>
  <si>
    <t>Charger</t>
  </si>
  <si>
    <t>HDMI Cable</t>
  </si>
  <si>
    <t>USB Hub</t>
  </si>
  <si>
    <t>Graphic Card</t>
  </si>
  <si>
    <t>RAM</t>
  </si>
  <si>
    <t>OrderID</t>
  </si>
  <si>
    <t>Region</t>
  </si>
  <si>
    <t>Customer</t>
  </si>
  <si>
    <t>Quantity</t>
  </si>
  <si>
    <t>OrderDate</t>
  </si>
  <si>
    <t>Sales</t>
  </si>
  <si>
    <t>Profit</t>
  </si>
  <si>
    <t>South</t>
  </si>
  <si>
    <t>Anita</t>
  </si>
  <si>
    <t>East</t>
  </si>
  <si>
    <t>John</t>
  </si>
  <si>
    <t>Neha</t>
  </si>
  <si>
    <t>Ravi</t>
  </si>
  <si>
    <t>West</t>
  </si>
  <si>
    <t>Pooja</t>
  </si>
  <si>
    <t>Vikas</t>
  </si>
  <si>
    <t>North</t>
  </si>
  <si>
    <t>Sana</t>
  </si>
  <si>
    <t>Karan</t>
  </si>
  <si>
    <t>Row Labels</t>
  </si>
  <si>
    <t>Grand Total</t>
  </si>
  <si>
    <t>Profit Margin Status</t>
  </si>
  <si>
    <t>Profit Margin Goal</t>
  </si>
  <si>
    <t>Profit Margin</t>
  </si>
  <si>
    <t xml:space="preserve">Sales </t>
  </si>
  <si>
    <t xml:space="preserve">unit </t>
  </si>
  <si>
    <t>month</t>
  </si>
  <si>
    <t>amount</t>
  </si>
  <si>
    <t>Price</t>
  </si>
  <si>
    <t>Qty</t>
  </si>
  <si>
    <t>Total Revenue</t>
  </si>
  <si>
    <t>Transport Cost</t>
  </si>
  <si>
    <t>Item Cost</t>
  </si>
  <si>
    <t>Total Cost</t>
  </si>
  <si>
    <t>What If Analysis</t>
  </si>
  <si>
    <t>$C$7</t>
  </si>
  <si>
    <t>$C$12</t>
  </si>
  <si>
    <t>300 Qty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</si>
  <si>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</si>
  <si>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</si>
  <si>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</si>
  <si>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</si>
  <si>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</si>
  <si>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</si>
  <si>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</si>
  <si>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.</t>
  </si>
  <si>
    <t>200 Qty</t>
  </si>
  <si>
    <t>Created by HP on 10/30/2025</t>
  </si>
  <si>
    <t>Created by HP on 10/30/2025
Modified by HP on 10/30/2025</t>
  </si>
  <si>
    <t>500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</si>
</sst>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2" xfId="0" applyBorder="1"/>
    <xf numFmtId="0" fontId="0" fillId="0" borderId="0" xfId="0" applyFill="1" applyBorder="1" applyAlignment="1"/>
    <xf numFmtId="0" fontId="0" fillId="0" borderId="4" xfId="0" applyFill="1" applyBorder="1" applyAlignment="1"/>
    <xf numFmtId="0" fontId="0" fillId="0" borderId="6" xfId="0" applyFill="1" applyBorder="1" applyAlignment="1"/>
    <xf numFmtId="0" fontId="3" fillId="3" borderId="3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0" fillId="5" borderId="0" xfId="0" applyFill="1" applyBorder="1" applyAlignment="1"/>
    <xf numFmtId="0" fontId="4" fillId="0" borderId="0" xfId="0" applyFont="1" applyFill="1" applyBorder="1" applyAlignment="1">
      <alignment vertical="top" wrapText="1"/>
    </xf>
    <xf numFmtId="0" fontId="0" fillId="2" borderId="2" xfId="0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64" formatCode="yyyy\-mm\-dd\ h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64" formatCode="yyyy\-mm\-dd\ h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[LectureData.xlsx]Dashboard!PivotTable2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Profit Margin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2E-403C-ACC6-F1E7B698F3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2E-403C-ACC6-F1E7B698F3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2E-403C-ACC6-F1E7B698F3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2E-403C-ACC6-F1E7B698F3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2E-403C-ACC6-F1E7B698F3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2E-403C-ACC6-F1E7B698F3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2E-403C-ACC6-F1E7B698F3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2E-403C-ACC6-F1E7B698F3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F2E-403C-ACC6-F1E7B698F3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F2E-403C-ACC6-F1E7B698F3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F2E-403C-ACC6-F1E7B698F3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F2E-403C-ACC6-F1E7B698F32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F2E-403C-ACC6-F1E7B698F32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F2E-403C-ACC6-F1E7B698F32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F2E-403C-ACC6-F1E7B698F32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F2E-403C-ACC6-F1E7B698F32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F2E-403C-ACC6-F1E7B698F32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F2E-403C-ACC6-F1E7B698F32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F2E-403C-ACC6-F1E7B698F32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F2E-403C-ACC6-F1E7B698F32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F2E-403C-ACC6-F1E7B698F32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F2E-403C-ACC6-F1E7B698F32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F2E-403C-ACC6-F1E7B698F32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F2E-403C-ACC6-F1E7B698F32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F2E-403C-ACC6-F1E7B698F32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F2E-403C-ACC6-F1E7B698F32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F2E-403C-ACC6-F1E7B698F32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F2E-403C-ACC6-F1E7B698F32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F2E-403C-ACC6-F1E7B698F32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F2E-403C-ACC6-F1E7B698F32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F2E-403C-ACC6-F1E7B698F32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F2E-403C-ACC6-F1E7B698F32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F2E-403C-ACC6-F1E7B698F32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F2E-403C-ACC6-F1E7B698F32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F2E-403C-ACC6-F1E7B698F32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F2E-403C-ACC6-F1E7B698F32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CF2E-403C-ACC6-F1E7B698F32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CF2E-403C-ACC6-F1E7B698F32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CF2E-403C-ACC6-F1E7B698F32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CF2E-403C-ACC6-F1E7B698F32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CF2E-403C-ACC6-F1E7B698F32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CF2E-403C-ACC6-F1E7B698F32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CF2E-403C-ACC6-F1E7B698F32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CF2E-403C-ACC6-F1E7B698F32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CF2E-403C-ACC6-F1E7B698F32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CF2E-403C-ACC6-F1E7B698F32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CF2E-403C-ACC6-F1E7B698F32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CF2E-403C-ACC6-F1E7B698F32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CF2E-403C-ACC6-F1E7B698F32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CF2E-403C-ACC6-F1E7B698F329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CF2E-403C-ACC6-F1E7B698F329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CF2E-403C-ACC6-F1E7B698F329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CF2E-403C-ACC6-F1E7B698F32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CF2E-403C-ACC6-F1E7B698F329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CF2E-403C-ACC6-F1E7B698F329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CF2E-403C-ACC6-F1E7B698F329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CF2E-403C-ACC6-F1E7B698F329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CF2E-403C-ACC6-F1E7B698F329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CF2E-403C-ACC6-F1E7B698F329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CF2E-403C-ACC6-F1E7B698F329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CF2E-403C-ACC6-F1E7B698F329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CF2E-403C-ACC6-F1E7B698F329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CF2E-403C-ACC6-F1E7B698F329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CF2E-403C-ACC6-F1E7B698F329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CF2E-403C-ACC6-F1E7B698F329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CF2E-403C-ACC6-F1E7B698F329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CF2E-403C-ACC6-F1E7B698F329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CF2E-403C-ACC6-F1E7B698F329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CF2E-403C-ACC6-F1E7B698F329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CF2E-403C-ACC6-F1E7B698F329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CF2E-403C-ACC6-F1E7B698F329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CF2E-403C-ACC6-F1E7B698F329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CF2E-403C-ACC6-F1E7B698F329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CF2E-403C-ACC6-F1E7B698F329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CF2E-403C-ACC6-F1E7B698F329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CF2E-403C-ACC6-F1E7B698F329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CF2E-403C-ACC6-F1E7B698F329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CF2E-403C-ACC6-F1E7B698F329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CF2E-403C-ACC6-F1E7B698F329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CF2E-403C-ACC6-F1E7B698F329}"/>
              </c:ext>
            </c:extLst>
          </c:dPt>
          <c:cat>
            <c:multiLvlStrRef>
              <c:f>Dashboard!$A$4:$A$88</c:f>
              <c:multiLvlStrCache>
                <c:ptCount val="80"/>
                <c:lvl>
                  <c:pt idx="0">
                    <c:v>Charger</c:v>
                  </c:pt>
                  <c:pt idx="1">
                    <c:v>Graphic Card</c:v>
                  </c:pt>
                  <c:pt idx="2">
                    <c:v>Hard Drive</c:v>
                  </c:pt>
                  <c:pt idx="3">
                    <c:v>HDMI Cable</c:v>
                  </c:pt>
                  <c:pt idx="4">
                    <c:v>Headphones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Power Bank</c:v>
                  </c:pt>
                  <c:pt idx="10">
                    <c:v>Printer</c:v>
                  </c:pt>
                  <c:pt idx="11">
                    <c:v>RAM</c:v>
                  </c:pt>
                  <c:pt idx="12">
                    <c:v>Router</c:v>
                  </c:pt>
                  <c:pt idx="13">
                    <c:v>Smartphone</c:v>
                  </c:pt>
                  <c:pt idx="14">
                    <c:v>Smartwatch</c:v>
                  </c:pt>
                  <c:pt idx="15">
                    <c:v>Speaker</c:v>
                  </c:pt>
                  <c:pt idx="16">
                    <c:v>SSD</c:v>
                  </c:pt>
                  <c:pt idx="17">
                    <c:v>Tablet</c:v>
                  </c:pt>
                  <c:pt idx="18">
                    <c:v>USB Hub</c:v>
                  </c:pt>
                  <c:pt idx="19">
                    <c:v>Webcam</c:v>
                  </c:pt>
                  <c:pt idx="20">
                    <c:v>Charger</c:v>
                  </c:pt>
                  <c:pt idx="21">
                    <c:v>Graphic Card</c:v>
                  </c:pt>
                  <c:pt idx="22">
                    <c:v>Hard Drive</c:v>
                  </c:pt>
                  <c:pt idx="23">
                    <c:v>HDMI Cable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Power Bank</c:v>
                  </c:pt>
                  <c:pt idx="30">
                    <c:v>Printer</c:v>
                  </c:pt>
                  <c:pt idx="31">
                    <c:v>RAM</c:v>
                  </c:pt>
                  <c:pt idx="32">
                    <c:v>Router</c:v>
                  </c:pt>
                  <c:pt idx="33">
                    <c:v>Smartphone</c:v>
                  </c:pt>
                  <c:pt idx="34">
                    <c:v>Smartwatch</c:v>
                  </c:pt>
                  <c:pt idx="35">
                    <c:v>Speaker</c:v>
                  </c:pt>
                  <c:pt idx="36">
                    <c:v>SSD</c:v>
                  </c:pt>
                  <c:pt idx="37">
                    <c:v>Tablet</c:v>
                  </c:pt>
                  <c:pt idx="38">
                    <c:v>USB Hub</c:v>
                  </c:pt>
                  <c:pt idx="39">
                    <c:v>Webcam</c:v>
                  </c:pt>
                  <c:pt idx="40">
                    <c:v>Charger</c:v>
                  </c:pt>
                  <c:pt idx="41">
                    <c:v>Graphic Card</c:v>
                  </c:pt>
                  <c:pt idx="42">
                    <c:v>Hard Drive</c:v>
                  </c:pt>
                  <c:pt idx="43">
                    <c:v>HDMI Cable</c:v>
                  </c:pt>
                  <c:pt idx="44">
                    <c:v>Headphones</c:v>
                  </c:pt>
                  <c:pt idx="45">
                    <c:v>Keyboard</c:v>
                  </c:pt>
                  <c:pt idx="46">
                    <c:v>Laptop</c:v>
                  </c:pt>
                  <c:pt idx="47">
                    <c:v>Monitor</c:v>
                  </c:pt>
                  <c:pt idx="48">
                    <c:v>Mouse</c:v>
                  </c:pt>
                  <c:pt idx="49">
                    <c:v>Power Bank</c:v>
                  </c:pt>
                  <c:pt idx="50">
                    <c:v>Printer</c:v>
                  </c:pt>
                  <c:pt idx="51">
                    <c:v>RAM</c:v>
                  </c:pt>
                  <c:pt idx="52">
                    <c:v>Router</c:v>
                  </c:pt>
                  <c:pt idx="53">
                    <c:v>Smartphone</c:v>
                  </c:pt>
                  <c:pt idx="54">
                    <c:v>Smartwatch</c:v>
                  </c:pt>
                  <c:pt idx="55">
                    <c:v>Speaker</c:v>
                  </c:pt>
                  <c:pt idx="56">
                    <c:v>SSD</c:v>
                  </c:pt>
                  <c:pt idx="57">
                    <c:v>Tablet</c:v>
                  </c:pt>
                  <c:pt idx="58">
                    <c:v>USB Hub</c:v>
                  </c:pt>
                  <c:pt idx="59">
                    <c:v>Webcam</c:v>
                  </c:pt>
                  <c:pt idx="60">
                    <c:v>Charger</c:v>
                  </c:pt>
                  <c:pt idx="61">
                    <c:v>Graphic Card</c:v>
                  </c:pt>
                  <c:pt idx="62">
                    <c:v>Hard Drive</c:v>
                  </c:pt>
                  <c:pt idx="63">
                    <c:v>HDMI Cable</c:v>
                  </c:pt>
                  <c:pt idx="64">
                    <c:v>Headphones</c:v>
                  </c:pt>
                  <c:pt idx="65">
                    <c:v>Keyboard</c:v>
                  </c:pt>
                  <c:pt idx="66">
                    <c:v>Laptop</c:v>
                  </c:pt>
                  <c:pt idx="67">
                    <c:v>Monitor</c:v>
                  </c:pt>
                  <c:pt idx="68">
                    <c:v>Mouse</c:v>
                  </c:pt>
                  <c:pt idx="69">
                    <c:v>Power Bank</c:v>
                  </c:pt>
                  <c:pt idx="70">
                    <c:v>Printer</c:v>
                  </c:pt>
                  <c:pt idx="71">
                    <c:v>RAM</c:v>
                  </c:pt>
                  <c:pt idx="72">
                    <c:v>Router</c:v>
                  </c:pt>
                  <c:pt idx="73">
                    <c:v>Smartphone</c:v>
                  </c:pt>
                  <c:pt idx="74">
                    <c:v>Smartwatch</c:v>
                  </c:pt>
                  <c:pt idx="75">
                    <c:v>Speaker</c:v>
                  </c:pt>
                  <c:pt idx="76">
                    <c:v>SSD</c:v>
                  </c:pt>
                  <c:pt idx="77">
                    <c:v>Tablet</c:v>
                  </c:pt>
                  <c:pt idx="78">
                    <c:v>USB Hub</c:v>
                  </c:pt>
                  <c:pt idx="79">
                    <c:v>Webcam</c:v>
                  </c:pt>
                </c:lvl>
                <c:lvl>
                  <c:pt idx="0">
                    <c:v>East</c:v>
                  </c:pt>
                  <c:pt idx="20">
                    <c:v>North</c:v>
                  </c:pt>
                  <c:pt idx="40">
                    <c:v>South</c:v>
                  </c:pt>
                  <c:pt idx="60">
                    <c:v>West</c:v>
                  </c:pt>
                </c:lvl>
              </c:multiLvlStrCache>
            </c:multiLvlStrRef>
          </c:cat>
          <c:val>
            <c:numRef>
              <c:f>Dashboard!$B$4:$B$88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-1</c:v>
                </c:pt>
                <c:pt idx="17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8">
                  <c:v>1</c:v>
                </c:pt>
                <c:pt idx="39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F-4ABF-8E5C-9D8FC51286C4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Profit Margin Goal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CF2E-403C-ACC6-F1E7B698F3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CF2E-403C-ACC6-F1E7B698F3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CF2E-403C-ACC6-F1E7B698F3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CF2E-403C-ACC6-F1E7B698F3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CF2E-403C-ACC6-F1E7B698F3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CF2E-403C-ACC6-F1E7B698F3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CF2E-403C-ACC6-F1E7B698F3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CF2E-403C-ACC6-F1E7B698F3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CF2E-403C-ACC6-F1E7B698F3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CF2E-403C-ACC6-F1E7B698F3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CF2E-403C-ACC6-F1E7B698F3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CF2E-403C-ACC6-F1E7B698F32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CF2E-403C-ACC6-F1E7B698F32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CF2E-403C-ACC6-F1E7B698F32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CF2E-403C-ACC6-F1E7B698F32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CF2E-403C-ACC6-F1E7B698F32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CF2E-403C-ACC6-F1E7B698F32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CF2E-403C-ACC6-F1E7B698F32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CF2E-403C-ACC6-F1E7B698F32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CF2E-403C-ACC6-F1E7B698F32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CF2E-403C-ACC6-F1E7B698F32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CF2E-403C-ACC6-F1E7B698F32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CF2E-403C-ACC6-F1E7B698F32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CF2E-403C-ACC6-F1E7B698F32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CF2E-403C-ACC6-F1E7B698F32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CF2E-403C-ACC6-F1E7B698F32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CF2E-403C-ACC6-F1E7B698F32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CF2E-403C-ACC6-F1E7B698F32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CF2E-403C-ACC6-F1E7B698F32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CF2E-403C-ACC6-F1E7B698F32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CF2E-403C-ACC6-F1E7B698F32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CF2E-403C-ACC6-F1E7B698F32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CF2E-403C-ACC6-F1E7B698F32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CF2E-403C-ACC6-F1E7B698F32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CF2E-403C-ACC6-F1E7B698F32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CF2E-403C-ACC6-F1E7B698F32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CF2E-403C-ACC6-F1E7B698F32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CF2E-403C-ACC6-F1E7B698F32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CF2E-403C-ACC6-F1E7B698F32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CF2E-403C-ACC6-F1E7B698F32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CF2E-403C-ACC6-F1E7B698F32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CF2E-403C-ACC6-F1E7B698F32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CF2E-403C-ACC6-F1E7B698F32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CF2E-403C-ACC6-F1E7B698F32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CF2E-403C-ACC6-F1E7B698F32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CF2E-403C-ACC6-F1E7B698F32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CF2E-403C-ACC6-F1E7B698F32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CF2E-403C-ACC6-F1E7B698F32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CF2E-403C-ACC6-F1E7B698F32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CF2E-403C-ACC6-F1E7B698F329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CF2E-403C-ACC6-F1E7B698F329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CF2E-403C-ACC6-F1E7B698F329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CF2E-403C-ACC6-F1E7B698F32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CF2E-403C-ACC6-F1E7B698F329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CF2E-403C-ACC6-F1E7B698F329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CF2E-403C-ACC6-F1E7B698F329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CF2E-403C-ACC6-F1E7B698F329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CF2E-403C-ACC6-F1E7B698F329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CF2E-403C-ACC6-F1E7B698F329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CF2E-403C-ACC6-F1E7B698F329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CF2E-403C-ACC6-F1E7B698F329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CF2E-403C-ACC6-F1E7B698F329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CF2E-403C-ACC6-F1E7B698F329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CF2E-403C-ACC6-F1E7B698F329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CF2E-403C-ACC6-F1E7B698F329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CF2E-403C-ACC6-F1E7B698F329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CF2E-403C-ACC6-F1E7B698F329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CF2E-403C-ACC6-F1E7B698F329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CF2E-403C-ACC6-F1E7B698F329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CF2E-403C-ACC6-F1E7B698F329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CF2E-403C-ACC6-F1E7B698F329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CF2E-403C-ACC6-F1E7B698F329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CF2E-403C-ACC6-F1E7B698F329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CF2E-403C-ACC6-F1E7B698F329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CF2E-403C-ACC6-F1E7B698F329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CF2E-403C-ACC6-F1E7B698F329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CF2E-403C-ACC6-F1E7B698F329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CF2E-403C-ACC6-F1E7B698F329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CF2E-403C-ACC6-F1E7B698F329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CF2E-403C-ACC6-F1E7B698F329}"/>
              </c:ext>
            </c:extLst>
          </c:dPt>
          <c:cat>
            <c:multiLvlStrRef>
              <c:f>Dashboard!$A$4:$A$88</c:f>
              <c:multiLvlStrCache>
                <c:ptCount val="80"/>
                <c:lvl>
                  <c:pt idx="0">
                    <c:v>Charger</c:v>
                  </c:pt>
                  <c:pt idx="1">
                    <c:v>Graphic Card</c:v>
                  </c:pt>
                  <c:pt idx="2">
                    <c:v>Hard Drive</c:v>
                  </c:pt>
                  <c:pt idx="3">
                    <c:v>HDMI Cable</c:v>
                  </c:pt>
                  <c:pt idx="4">
                    <c:v>Headphones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Power Bank</c:v>
                  </c:pt>
                  <c:pt idx="10">
                    <c:v>Printer</c:v>
                  </c:pt>
                  <c:pt idx="11">
                    <c:v>RAM</c:v>
                  </c:pt>
                  <c:pt idx="12">
                    <c:v>Router</c:v>
                  </c:pt>
                  <c:pt idx="13">
                    <c:v>Smartphone</c:v>
                  </c:pt>
                  <c:pt idx="14">
                    <c:v>Smartwatch</c:v>
                  </c:pt>
                  <c:pt idx="15">
                    <c:v>Speaker</c:v>
                  </c:pt>
                  <c:pt idx="16">
                    <c:v>SSD</c:v>
                  </c:pt>
                  <c:pt idx="17">
                    <c:v>Tablet</c:v>
                  </c:pt>
                  <c:pt idx="18">
                    <c:v>USB Hub</c:v>
                  </c:pt>
                  <c:pt idx="19">
                    <c:v>Webcam</c:v>
                  </c:pt>
                  <c:pt idx="20">
                    <c:v>Charger</c:v>
                  </c:pt>
                  <c:pt idx="21">
                    <c:v>Graphic Card</c:v>
                  </c:pt>
                  <c:pt idx="22">
                    <c:v>Hard Drive</c:v>
                  </c:pt>
                  <c:pt idx="23">
                    <c:v>HDMI Cable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Power Bank</c:v>
                  </c:pt>
                  <c:pt idx="30">
                    <c:v>Printer</c:v>
                  </c:pt>
                  <c:pt idx="31">
                    <c:v>RAM</c:v>
                  </c:pt>
                  <c:pt idx="32">
                    <c:v>Router</c:v>
                  </c:pt>
                  <c:pt idx="33">
                    <c:v>Smartphone</c:v>
                  </c:pt>
                  <c:pt idx="34">
                    <c:v>Smartwatch</c:v>
                  </c:pt>
                  <c:pt idx="35">
                    <c:v>Speaker</c:v>
                  </c:pt>
                  <c:pt idx="36">
                    <c:v>SSD</c:v>
                  </c:pt>
                  <c:pt idx="37">
                    <c:v>Tablet</c:v>
                  </c:pt>
                  <c:pt idx="38">
                    <c:v>USB Hub</c:v>
                  </c:pt>
                  <c:pt idx="39">
                    <c:v>Webcam</c:v>
                  </c:pt>
                  <c:pt idx="40">
                    <c:v>Charger</c:v>
                  </c:pt>
                  <c:pt idx="41">
                    <c:v>Graphic Card</c:v>
                  </c:pt>
                  <c:pt idx="42">
                    <c:v>Hard Drive</c:v>
                  </c:pt>
                  <c:pt idx="43">
                    <c:v>HDMI Cable</c:v>
                  </c:pt>
                  <c:pt idx="44">
                    <c:v>Headphones</c:v>
                  </c:pt>
                  <c:pt idx="45">
                    <c:v>Keyboard</c:v>
                  </c:pt>
                  <c:pt idx="46">
                    <c:v>Laptop</c:v>
                  </c:pt>
                  <c:pt idx="47">
                    <c:v>Monitor</c:v>
                  </c:pt>
                  <c:pt idx="48">
                    <c:v>Mouse</c:v>
                  </c:pt>
                  <c:pt idx="49">
                    <c:v>Power Bank</c:v>
                  </c:pt>
                  <c:pt idx="50">
                    <c:v>Printer</c:v>
                  </c:pt>
                  <c:pt idx="51">
                    <c:v>RAM</c:v>
                  </c:pt>
                  <c:pt idx="52">
                    <c:v>Router</c:v>
                  </c:pt>
                  <c:pt idx="53">
                    <c:v>Smartphone</c:v>
                  </c:pt>
                  <c:pt idx="54">
                    <c:v>Smartwatch</c:v>
                  </c:pt>
                  <c:pt idx="55">
                    <c:v>Speaker</c:v>
                  </c:pt>
                  <c:pt idx="56">
                    <c:v>SSD</c:v>
                  </c:pt>
                  <c:pt idx="57">
                    <c:v>Tablet</c:v>
                  </c:pt>
                  <c:pt idx="58">
                    <c:v>USB Hub</c:v>
                  </c:pt>
                  <c:pt idx="59">
                    <c:v>Webcam</c:v>
                  </c:pt>
                  <c:pt idx="60">
                    <c:v>Charger</c:v>
                  </c:pt>
                  <c:pt idx="61">
                    <c:v>Graphic Card</c:v>
                  </c:pt>
                  <c:pt idx="62">
                    <c:v>Hard Drive</c:v>
                  </c:pt>
                  <c:pt idx="63">
                    <c:v>HDMI Cable</c:v>
                  </c:pt>
                  <c:pt idx="64">
                    <c:v>Headphones</c:v>
                  </c:pt>
                  <c:pt idx="65">
                    <c:v>Keyboard</c:v>
                  </c:pt>
                  <c:pt idx="66">
                    <c:v>Laptop</c:v>
                  </c:pt>
                  <c:pt idx="67">
                    <c:v>Monitor</c:v>
                  </c:pt>
                  <c:pt idx="68">
                    <c:v>Mouse</c:v>
                  </c:pt>
                  <c:pt idx="69">
                    <c:v>Power Bank</c:v>
                  </c:pt>
                  <c:pt idx="70">
                    <c:v>Printer</c:v>
                  </c:pt>
                  <c:pt idx="71">
                    <c:v>RAM</c:v>
                  </c:pt>
                  <c:pt idx="72">
                    <c:v>Router</c:v>
                  </c:pt>
                  <c:pt idx="73">
                    <c:v>Smartphone</c:v>
                  </c:pt>
                  <c:pt idx="74">
                    <c:v>Smartwatch</c:v>
                  </c:pt>
                  <c:pt idx="75">
                    <c:v>Speaker</c:v>
                  </c:pt>
                  <c:pt idx="76">
                    <c:v>SSD</c:v>
                  </c:pt>
                  <c:pt idx="77">
                    <c:v>Tablet</c:v>
                  </c:pt>
                  <c:pt idx="78">
                    <c:v>USB Hub</c:v>
                  </c:pt>
                  <c:pt idx="79">
                    <c:v>Webcam</c:v>
                  </c:pt>
                </c:lvl>
                <c:lvl>
                  <c:pt idx="0">
                    <c:v>East</c:v>
                  </c:pt>
                  <c:pt idx="20">
                    <c:v>North</c:v>
                  </c:pt>
                  <c:pt idx="40">
                    <c:v>South</c:v>
                  </c:pt>
                  <c:pt idx="60">
                    <c:v>West</c:v>
                  </c:pt>
                </c:lvl>
              </c:multiLvlStrCache>
            </c:multiLvlStrRef>
          </c:cat>
          <c:val>
            <c:numRef>
              <c:f>Dashboard!$C$4:$C$88</c:f>
              <c:numCache>
                <c:formatCode>General</c:formatCode>
                <c:ptCount val="80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  <c:pt idx="60">
                  <c:v>0.15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0.15</c:v>
                </c:pt>
                <c:pt idx="74">
                  <c:v>0.15</c:v>
                </c:pt>
                <c:pt idx="75">
                  <c:v>0.15</c:v>
                </c:pt>
                <c:pt idx="76">
                  <c:v>0.15</c:v>
                </c:pt>
                <c:pt idx="77">
                  <c:v>0.15</c:v>
                </c:pt>
                <c:pt idx="78">
                  <c:v>0.15</c:v>
                </c:pt>
                <c:pt idx="79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F-4ABF-8E5C-9D8FC51286C4}"/>
            </c:ext>
          </c:extLst>
        </c:ser>
        <c:ser>
          <c:idx val="2"/>
          <c:order val="2"/>
          <c:tx>
            <c:strRef>
              <c:f>Dashboard!$D$3</c:f>
              <c:strCache>
                <c:ptCount val="1"/>
                <c:pt idx="0">
                  <c:v>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CF2E-403C-ACC6-F1E7B698F3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CF2E-403C-ACC6-F1E7B698F3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CF2E-403C-ACC6-F1E7B698F3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CF2E-403C-ACC6-F1E7B698F3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CF2E-403C-ACC6-F1E7B698F3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CF2E-403C-ACC6-F1E7B698F3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CF2E-403C-ACC6-F1E7B698F3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CF2E-403C-ACC6-F1E7B698F3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CF2E-403C-ACC6-F1E7B698F3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CF2E-403C-ACC6-F1E7B698F3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CF2E-403C-ACC6-F1E7B698F3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CF2E-403C-ACC6-F1E7B698F32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CF2E-403C-ACC6-F1E7B698F32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CF2E-403C-ACC6-F1E7B698F32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CF2E-403C-ACC6-F1E7B698F32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CF2E-403C-ACC6-F1E7B698F32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CF2E-403C-ACC6-F1E7B698F32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CF2E-403C-ACC6-F1E7B698F32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CF2E-403C-ACC6-F1E7B698F32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CF2E-403C-ACC6-F1E7B698F32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CF2E-403C-ACC6-F1E7B698F32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CF2E-403C-ACC6-F1E7B698F32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CF2E-403C-ACC6-F1E7B698F32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CF2E-403C-ACC6-F1E7B698F32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CF2E-403C-ACC6-F1E7B698F32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CF2E-403C-ACC6-F1E7B698F32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CF2E-403C-ACC6-F1E7B698F32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CF2E-403C-ACC6-F1E7B698F32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CF2E-403C-ACC6-F1E7B698F32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CF2E-403C-ACC6-F1E7B698F32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CF2E-403C-ACC6-F1E7B698F32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CF2E-403C-ACC6-F1E7B698F32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CF2E-403C-ACC6-F1E7B698F32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CF2E-403C-ACC6-F1E7B698F32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CF2E-403C-ACC6-F1E7B698F32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CF2E-403C-ACC6-F1E7B698F32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CF2E-403C-ACC6-F1E7B698F32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CF2E-403C-ACC6-F1E7B698F32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CF2E-403C-ACC6-F1E7B698F32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CF2E-403C-ACC6-F1E7B698F32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CF2E-403C-ACC6-F1E7B698F32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CF2E-403C-ACC6-F1E7B698F32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CF2E-403C-ACC6-F1E7B698F32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CF2E-403C-ACC6-F1E7B698F32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CF2E-403C-ACC6-F1E7B698F32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CF2E-403C-ACC6-F1E7B698F32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CF2E-403C-ACC6-F1E7B698F32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CF2E-403C-ACC6-F1E7B698F32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CF2E-403C-ACC6-F1E7B698F32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CF2E-403C-ACC6-F1E7B698F329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CF2E-403C-ACC6-F1E7B698F329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CF2E-403C-ACC6-F1E7B698F329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CF2E-403C-ACC6-F1E7B698F32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CF2E-403C-ACC6-F1E7B698F329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CF2E-403C-ACC6-F1E7B698F329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CF2E-403C-ACC6-F1E7B698F329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CF2E-403C-ACC6-F1E7B698F329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CF2E-403C-ACC6-F1E7B698F329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CF2E-403C-ACC6-F1E7B698F329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CF2E-403C-ACC6-F1E7B698F329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CF2E-403C-ACC6-F1E7B698F329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CF2E-403C-ACC6-F1E7B698F329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CF2E-403C-ACC6-F1E7B698F329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CF2E-403C-ACC6-F1E7B698F329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CF2E-403C-ACC6-F1E7B698F329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CF2E-403C-ACC6-F1E7B698F329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CF2E-403C-ACC6-F1E7B698F329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CF2E-403C-ACC6-F1E7B698F329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CF2E-403C-ACC6-F1E7B698F329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CF2E-403C-ACC6-F1E7B698F329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CF2E-403C-ACC6-F1E7B698F329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CF2E-403C-ACC6-F1E7B698F329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CF2E-403C-ACC6-F1E7B698F329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CF2E-403C-ACC6-F1E7B698F329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CF2E-403C-ACC6-F1E7B698F329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CF2E-403C-ACC6-F1E7B698F329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CF2E-403C-ACC6-F1E7B698F329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CF2E-403C-ACC6-F1E7B698F329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CF2E-403C-ACC6-F1E7B698F329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CF2E-403C-ACC6-F1E7B698F329}"/>
              </c:ext>
            </c:extLst>
          </c:dPt>
          <c:cat>
            <c:multiLvlStrRef>
              <c:f>Dashboard!$A$4:$A$88</c:f>
              <c:multiLvlStrCache>
                <c:ptCount val="80"/>
                <c:lvl>
                  <c:pt idx="0">
                    <c:v>Charger</c:v>
                  </c:pt>
                  <c:pt idx="1">
                    <c:v>Graphic Card</c:v>
                  </c:pt>
                  <c:pt idx="2">
                    <c:v>Hard Drive</c:v>
                  </c:pt>
                  <c:pt idx="3">
                    <c:v>HDMI Cable</c:v>
                  </c:pt>
                  <c:pt idx="4">
                    <c:v>Headphones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Power Bank</c:v>
                  </c:pt>
                  <c:pt idx="10">
                    <c:v>Printer</c:v>
                  </c:pt>
                  <c:pt idx="11">
                    <c:v>RAM</c:v>
                  </c:pt>
                  <c:pt idx="12">
                    <c:v>Router</c:v>
                  </c:pt>
                  <c:pt idx="13">
                    <c:v>Smartphone</c:v>
                  </c:pt>
                  <c:pt idx="14">
                    <c:v>Smartwatch</c:v>
                  </c:pt>
                  <c:pt idx="15">
                    <c:v>Speaker</c:v>
                  </c:pt>
                  <c:pt idx="16">
                    <c:v>SSD</c:v>
                  </c:pt>
                  <c:pt idx="17">
                    <c:v>Tablet</c:v>
                  </c:pt>
                  <c:pt idx="18">
                    <c:v>USB Hub</c:v>
                  </c:pt>
                  <c:pt idx="19">
                    <c:v>Webcam</c:v>
                  </c:pt>
                  <c:pt idx="20">
                    <c:v>Charger</c:v>
                  </c:pt>
                  <c:pt idx="21">
                    <c:v>Graphic Card</c:v>
                  </c:pt>
                  <c:pt idx="22">
                    <c:v>Hard Drive</c:v>
                  </c:pt>
                  <c:pt idx="23">
                    <c:v>HDMI Cable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Power Bank</c:v>
                  </c:pt>
                  <c:pt idx="30">
                    <c:v>Printer</c:v>
                  </c:pt>
                  <c:pt idx="31">
                    <c:v>RAM</c:v>
                  </c:pt>
                  <c:pt idx="32">
                    <c:v>Router</c:v>
                  </c:pt>
                  <c:pt idx="33">
                    <c:v>Smartphone</c:v>
                  </c:pt>
                  <c:pt idx="34">
                    <c:v>Smartwatch</c:v>
                  </c:pt>
                  <c:pt idx="35">
                    <c:v>Speaker</c:v>
                  </c:pt>
                  <c:pt idx="36">
                    <c:v>SSD</c:v>
                  </c:pt>
                  <c:pt idx="37">
                    <c:v>Tablet</c:v>
                  </c:pt>
                  <c:pt idx="38">
                    <c:v>USB Hub</c:v>
                  </c:pt>
                  <c:pt idx="39">
                    <c:v>Webcam</c:v>
                  </c:pt>
                  <c:pt idx="40">
                    <c:v>Charger</c:v>
                  </c:pt>
                  <c:pt idx="41">
                    <c:v>Graphic Card</c:v>
                  </c:pt>
                  <c:pt idx="42">
                    <c:v>Hard Drive</c:v>
                  </c:pt>
                  <c:pt idx="43">
                    <c:v>HDMI Cable</c:v>
                  </c:pt>
                  <c:pt idx="44">
                    <c:v>Headphones</c:v>
                  </c:pt>
                  <c:pt idx="45">
                    <c:v>Keyboard</c:v>
                  </c:pt>
                  <c:pt idx="46">
                    <c:v>Laptop</c:v>
                  </c:pt>
                  <c:pt idx="47">
                    <c:v>Monitor</c:v>
                  </c:pt>
                  <c:pt idx="48">
                    <c:v>Mouse</c:v>
                  </c:pt>
                  <c:pt idx="49">
                    <c:v>Power Bank</c:v>
                  </c:pt>
                  <c:pt idx="50">
                    <c:v>Printer</c:v>
                  </c:pt>
                  <c:pt idx="51">
                    <c:v>RAM</c:v>
                  </c:pt>
                  <c:pt idx="52">
                    <c:v>Router</c:v>
                  </c:pt>
                  <c:pt idx="53">
                    <c:v>Smartphone</c:v>
                  </c:pt>
                  <c:pt idx="54">
                    <c:v>Smartwatch</c:v>
                  </c:pt>
                  <c:pt idx="55">
                    <c:v>Speaker</c:v>
                  </c:pt>
                  <c:pt idx="56">
                    <c:v>SSD</c:v>
                  </c:pt>
                  <c:pt idx="57">
                    <c:v>Tablet</c:v>
                  </c:pt>
                  <c:pt idx="58">
                    <c:v>USB Hub</c:v>
                  </c:pt>
                  <c:pt idx="59">
                    <c:v>Webcam</c:v>
                  </c:pt>
                  <c:pt idx="60">
                    <c:v>Charger</c:v>
                  </c:pt>
                  <c:pt idx="61">
                    <c:v>Graphic Card</c:v>
                  </c:pt>
                  <c:pt idx="62">
                    <c:v>Hard Drive</c:v>
                  </c:pt>
                  <c:pt idx="63">
                    <c:v>HDMI Cable</c:v>
                  </c:pt>
                  <c:pt idx="64">
                    <c:v>Headphones</c:v>
                  </c:pt>
                  <c:pt idx="65">
                    <c:v>Keyboard</c:v>
                  </c:pt>
                  <c:pt idx="66">
                    <c:v>Laptop</c:v>
                  </c:pt>
                  <c:pt idx="67">
                    <c:v>Monitor</c:v>
                  </c:pt>
                  <c:pt idx="68">
                    <c:v>Mouse</c:v>
                  </c:pt>
                  <c:pt idx="69">
                    <c:v>Power Bank</c:v>
                  </c:pt>
                  <c:pt idx="70">
                    <c:v>Printer</c:v>
                  </c:pt>
                  <c:pt idx="71">
                    <c:v>RAM</c:v>
                  </c:pt>
                  <c:pt idx="72">
                    <c:v>Router</c:v>
                  </c:pt>
                  <c:pt idx="73">
                    <c:v>Smartphone</c:v>
                  </c:pt>
                  <c:pt idx="74">
                    <c:v>Smartwatch</c:v>
                  </c:pt>
                  <c:pt idx="75">
                    <c:v>Speaker</c:v>
                  </c:pt>
                  <c:pt idx="76">
                    <c:v>SSD</c:v>
                  </c:pt>
                  <c:pt idx="77">
                    <c:v>Tablet</c:v>
                  </c:pt>
                  <c:pt idx="78">
                    <c:v>USB Hub</c:v>
                  </c:pt>
                  <c:pt idx="79">
                    <c:v>Webcam</c:v>
                  </c:pt>
                </c:lvl>
                <c:lvl>
                  <c:pt idx="0">
                    <c:v>East</c:v>
                  </c:pt>
                  <c:pt idx="20">
                    <c:v>North</c:v>
                  </c:pt>
                  <c:pt idx="40">
                    <c:v>South</c:v>
                  </c:pt>
                  <c:pt idx="60">
                    <c:v>West</c:v>
                  </c:pt>
                </c:lvl>
              </c:multiLvlStrCache>
            </c:multiLvlStrRef>
          </c:cat>
          <c:val>
            <c:numRef>
              <c:f>Dashboard!$D$4:$D$88</c:f>
              <c:numCache>
                <c:formatCode>General</c:formatCode>
                <c:ptCount val="80"/>
                <c:pt idx="0">
                  <c:v>8.5367951284364807E-2</c:v>
                </c:pt>
                <c:pt idx="1">
                  <c:v>0.16014958088546219</c:v>
                </c:pt>
                <c:pt idx="2">
                  <c:v>0.16463016985147774</c:v>
                </c:pt>
                <c:pt idx="3">
                  <c:v>0.10917651938788955</c:v>
                </c:pt>
                <c:pt idx="4">
                  <c:v>0.15637149593763508</c:v>
                </c:pt>
                <c:pt idx="5">
                  <c:v>0.19181759147723942</c:v>
                </c:pt>
                <c:pt idx="6">
                  <c:v>0.11253319092006975</c:v>
                </c:pt>
                <c:pt idx="7">
                  <c:v>0.17306703371875054</c:v>
                </c:pt>
                <c:pt idx="8">
                  <c:v>0.17047071247292889</c:v>
                </c:pt>
                <c:pt idx="9">
                  <c:v>0.12697329994611359</c:v>
                </c:pt>
                <c:pt idx="10">
                  <c:v>9.4019442816219434E-2</c:v>
                </c:pt>
                <c:pt idx="11">
                  <c:v>0.12014367156152771</c:v>
                </c:pt>
                <c:pt idx="12">
                  <c:v>0.12176242134196938</c:v>
                </c:pt>
                <c:pt idx="13">
                  <c:v>0.19179524711295684</c:v>
                </c:pt>
                <c:pt idx="14">
                  <c:v>0.19571497425990805</c:v>
                </c:pt>
                <c:pt idx="15">
                  <c:v>0.17032023777572081</c:v>
                </c:pt>
                <c:pt idx="16">
                  <c:v>5.4604520957527318E-2</c:v>
                </c:pt>
                <c:pt idx="17">
                  <c:v>0.14823060283135547</c:v>
                </c:pt>
                <c:pt idx="20">
                  <c:v>0.13533818875968037</c:v>
                </c:pt>
                <c:pt idx="21">
                  <c:v>0.15729627029691901</c:v>
                </c:pt>
                <c:pt idx="22">
                  <c:v>7.4585095689301301E-2</c:v>
                </c:pt>
                <c:pt idx="23">
                  <c:v>0.1500609188633994</c:v>
                </c:pt>
                <c:pt idx="24">
                  <c:v>0.2073358538967339</c:v>
                </c:pt>
                <c:pt idx="25">
                  <c:v>0.17555968507812883</c:v>
                </c:pt>
                <c:pt idx="26">
                  <c:v>0.17321627860261049</c:v>
                </c:pt>
                <c:pt idx="27">
                  <c:v>8.5542525129619545E-2</c:v>
                </c:pt>
                <c:pt idx="28">
                  <c:v>0.18327525166535696</c:v>
                </c:pt>
                <c:pt idx="29">
                  <c:v>0.17243535952404979</c:v>
                </c:pt>
                <c:pt idx="30">
                  <c:v>0.13994182088638046</c:v>
                </c:pt>
                <c:pt idx="31">
                  <c:v>0.14884278984759911</c:v>
                </c:pt>
                <c:pt idx="32">
                  <c:v>0.11229463422655123</c:v>
                </c:pt>
                <c:pt idx="33">
                  <c:v>0.20569946858724342</c:v>
                </c:pt>
                <c:pt idx="34">
                  <c:v>0.2106426330434738</c:v>
                </c:pt>
                <c:pt idx="35">
                  <c:v>9.0346092466046857E-2</c:v>
                </c:pt>
                <c:pt idx="36">
                  <c:v>0.23157322609250316</c:v>
                </c:pt>
                <c:pt idx="38">
                  <c:v>0.17784956388223841</c:v>
                </c:pt>
                <c:pt idx="39">
                  <c:v>0.208473215263317</c:v>
                </c:pt>
                <c:pt idx="41">
                  <c:v>0.19332071113956156</c:v>
                </c:pt>
                <c:pt idx="42">
                  <c:v>0.19139609224869172</c:v>
                </c:pt>
                <c:pt idx="43">
                  <c:v>0.17654931026711509</c:v>
                </c:pt>
                <c:pt idx="44">
                  <c:v>8.5228258445255722E-2</c:v>
                </c:pt>
                <c:pt idx="45">
                  <c:v>0.10627764299099764</c:v>
                </c:pt>
                <c:pt idx="46">
                  <c:v>0.14756894998226</c:v>
                </c:pt>
                <c:pt idx="47">
                  <c:v>0.18320352639126714</c:v>
                </c:pt>
                <c:pt idx="48">
                  <c:v>0.20630289635028284</c:v>
                </c:pt>
                <c:pt idx="49">
                  <c:v>0.16547287811890143</c:v>
                </c:pt>
                <c:pt idx="50">
                  <c:v>0.13454730571447371</c:v>
                </c:pt>
                <c:pt idx="51">
                  <c:v>0.21014995429722419</c:v>
                </c:pt>
                <c:pt idx="52">
                  <c:v>0.22948608196377721</c:v>
                </c:pt>
                <c:pt idx="53">
                  <c:v>0.17200376205698711</c:v>
                </c:pt>
                <c:pt idx="54">
                  <c:v>0.14616739561781461</c:v>
                </c:pt>
                <c:pt idx="55">
                  <c:v>0.145959824414304</c:v>
                </c:pt>
                <c:pt idx="56">
                  <c:v>0.22862015435132449</c:v>
                </c:pt>
                <c:pt idx="57">
                  <c:v>0.19568576949208763</c:v>
                </c:pt>
                <c:pt idx="58">
                  <c:v>0.14908472528079328</c:v>
                </c:pt>
                <c:pt idx="59">
                  <c:v>9.0908918633892721E-2</c:v>
                </c:pt>
                <c:pt idx="60">
                  <c:v>0.14400076732741876</c:v>
                </c:pt>
                <c:pt idx="61">
                  <c:v>0.11135195919752647</c:v>
                </c:pt>
                <c:pt idx="62">
                  <c:v>0.13428103520172288</c:v>
                </c:pt>
                <c:pt idx="63">
                  <c:v>7.8672295674021592E-2</c:v>
                </c:pt>
                <c:pt idx="64">
                  <c:v>0.17074430634602794</c:v>
                </c:pt>
                <c:pt idx="65">
                  <c:v>0.14813241865486201</c:v>
                </c:pt>
                <c:pt idx="66">
                  <c:v>0.16774078037560514</c:v>
                </c:pt>
                <c:pt idx="67">
                  <c:v>0.13228445177724679</c:v>
                </c:pt>
                <c:pt idx="68">
                  <c:v>0.19369646636570739</c:v>
                </c:pt>
                <c:pt idx="70">
                  <c:v>0.22014549200329109</c:v>
                </c:pt>
                <c:pt idx="71">
                  <c:v>0.230853721061793</c:v>
                </c:pt>
                <c:pt idx="72">
                  <c:v>0.15136052633171257</c:v>
                </c:pt>
                <c:pt idx="73">
                  <c:v>0.17830345062441105</c:v>
                </c:pt>
                <c:pt idx="74">
                  <c:v>0.10181721993596902</c:v>
                </c:pt>
                <c:pt idx="75">
                  <c:v>0.16438037325862837</c:v>
                </c:pt>
                <c:pt idx="76">
                  <c:v>0.13162820289099539</c:v>
                </c:pt>
                <c:pt idx="77">
                  <c:v>0.13989535444073758</c:v>
                </c:pt>
                <c:pt idx="78">
                  <c:v>0.13879838734703698</c:v>
                </c:pt>
                <c:pt idx="79">
                  <c:v>0.11477646560903033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7F-4ABF-8E5C-9D8FC5128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148590</xdr:colOff>
      <xdr:row>6</xdr:row>
      <xdr:rowOff>99060</xdr:rowOff>
    </xdr:from>
    <xdr:to>
      <xdr:col>11</xdr:col>
      <xdr:colOff>232410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68B30C-2874-453D-A651-C2B8423A8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59.530290856484" backgroundQuery="1" createdVersion="6" refreshedVersion="6" minRefreshableVersion="3" recordCount="0" supportSubquery="1" supportAdvancedDrill="1" xr:uid="{0FED91A5-A42F-4776-9C79-394E8DCB9106}">
  <cacheSource type="external" connectionId="1"/>
  <cacheFields count="5">
    <cacheField name="[SalesData].[Region].[Region]" caption="Region" numFmtId="0" hierarchy="6" level="1">
      <sharedItems count="4">
        <s v="East"/>
        <s v="North"/>
        <s v="South"/>
        <s v="West"/>
      </sharedItems>
    </cacheField>
    <cacheField name="[Measures].[_Profit Margin Status]" caption="_Profit Margin Status" numFmtId="0" hierarchy="22" level="32767"/>
    <cacheField name="[Measures].[_Profit Margin Goal]" caption="_Profit Margin Goal" numFmtId="0" hierarchy="21" level="32767"/>
    <cacheField name="[Measures].[Profit Margin]" caption="Profit Margin" numFmtId="0" hierarchy="17" level="32767"/>
    <cacheField name="[ProductData].[ProductName].[ProductName]" caption="ProductName" numFmtId="0" hierarchy="1" level="1">
      <sharedItems count="20">
        <s v="Charger"/>
        <s v="Graphic Card"/>
        <s v="Hard Drive"/>
        <s v="HDMI Cable"/>
        <s v="Headphones"/>
        <s v="Keyboard"/>
        <s v="Laptop"/>
        <s v="Monitor"/>
        <s v="Mouse"/>
        <s v="Power Bank"/>
        <s v="Printer"/>
        <s v="RAM"/>
        <s v="Router"/>
        <s v="Smartphone"/>
        <s v="Smartwatch"/>
        <s v="Speaker"/>
        <s v="SSD"/>
        <s v="Tablet"/>
        <s v="USB Hub"/>
        <s v="Webcam"/>
      </sharedItems>
    </cacheField>
  </cacheFields>
  <cacheHierarchies count="23">
    <cacheHierarchy uniqueName="[ProductData].[ProductID]" caption="ProductID" attribute="1" defaultMemberUniqueName="[ProductData].[ProductID].[All]" allUniqueName="[ProductData].[ProductID].[All]" dimensionUniqueName="[ProductData]" displayFolder="" count="0" memberValueDatatype="20" unbalanced="0"/>
    <cacheHierarchy uniqueName="[ProductData].[ProductName]" caption="ProductName" attribute="1" defaultMemberUniqueName="[ProductData].[ProductName].[All]" allUniqueName="[ProductData].[ProductName].[All]" dimensionUniqueName="[ProductData]" displayFolder="" count="2" memberValueDatatype="130" unbalanced="0">
      <fieldsUsage count="2">
        <fieldUsage x="-1"/>
        <fieldUsage x="4"/>
      </fieldsUsage>
    </cacheHierarchy>
    <cacheHierarchy uniqueName="[ProductData].[Category]" caption="Category" attribute="1" defaultMemberUniqueName="[ProductData].[Category].[All]" allUniqueName="[ProductData].[Category].[All]" dimensionUniqueName="[ProductData]" displayFolder="" count="2" memberValueDatatype="130" unbalanced="0"/>
    <cacheHierarchy uniqueName="[ProductData].[UnitPrice]" caption="UnitPrice" attribute="1" defaultMemberUniqueName="[ProductData].[UnitPrice].[All]" allUniqueName="[ProductData].[UnitPrice].[All]" dimensionUniqueName="[ProductData]" displayFolder="" count="0" memberValueDatatype="20" unbalanced="0"/>
    <cacheHierarchy uniqueName="[SalesData].[OrderID]" caption="OrderID" attribute="1" defaultMemberUniqueName="[SalesData].[OrderID].[All]" allUniqueName="[SalesData].[OrderID].[All]" dimensionUniqueName="[SalesData]" displayFolder="" count="0" memberValueDatatype="20" unbalanced="0"/>
    <cacheHierarchy uniqueName="[SalesData].[ProductID]" caption="ProductID" attribute="1" defaultMemberUniqueName="[SalesData].[ProductID].[All]" allUniqueName="[SalesData].[ProductID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Customer]" caption="Customer" attribute="1" defaultMemberUniqueName="[SalesData].[Customer].[All]" allUniqueName="[SalesData].[Customer].[All]" dimensionUniqueName="[SalesData]" displayFolder="" count="0" memberValueDatatype="13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OrderDate]" caption="OrderDate" attribute="1" time="1" defaultMemberUniqueName="[SalesData].[OrderDate].[All]" allUniqueName="[SalesData].[OrderDate].[All]" dimensionUniqueName="[SalesData]" displayFolder="" count="0" memberValueDatatype="7" unbalanced="0"/>
    <cacheHierarchy uniqueName="[SalesData].[UnitPrice]" caption="UnitPrice" attribute="1" defaultMemberUniqueName="[SalesData].[UnitPrice].[All]" allUniqueName="[SalesData].[UnitPrice].[All]" dimensionUniqueName="[SalesData]" displayFolder="" count="0" memberValueDatatype="20" unbalanced="0"/>
    <cacheHierarchy uniqueName="[SalesData].[Sales]" caption="Sales" attribute="1" defaultMemberUniqueName="[SalesData].[Sales].[All]" allUniqueName="[SalesData].[Sales].[All]" dimensionUniqueName="[SalesData]" displayFolder="" count="0" memberValueDatatype="20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Measures].[Total Sales]" caption="Total Sales" measure="1" displayFolder="" measureGroup="ProductData" count="0"/>
    <cacheHierarchy uniqueName="[Measures].[Total Profit]" caption="Total Profit" measure="1" displayFolder="" measureGroup="ProductData" count="0"/>
    <cacheHierarchy uniqueName="[Measures].[Total Quantity]" caption="Total Quantity" measure="1" displayFolder="" measureGroup="ProductData" count="0"/>
    <cacheHierarchy uniqueName="[Measures].[Average Order Value]" caption="Average Order Value" measure="1" displayFolder="" measureGroup="ProductData" count="0"/>
    <cacheHierarchy uniqueName="[Measures].[Profit Margin]" caption="Profit Margin" measure="1" displayFolder="" measureGroup="ProductData" count="0" oneField="1">
      <fieldsUsage count="1">
        <fieldUsage x="3"/>
      </fieldsUsage>
    </cacheHierarchy>
    <cacheHierarchy uniqueName="[Measures].[__XL_Count ProductData]" caption="__XL_Count ProductData" measure="1" displayFolder="" measureGroup="ProductData" count="0" hidden="1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_Profit Margin Goal]" caption="_Profit Margin Goal" measure="1" displayFolder="" measureGroup="ProductData" count="0" oneField="1" hidden="1">
      <fieldsUsage count="1">
        <fieldUsage x="2"/>
      </fieldsUsage>
    </cacheHierarchy>
    <cacheHierarchy uniqueName="[Measures].[_Profit Margin Status]" caption="_Profit Margin Status" measure="1" iconSet="6" displayFolder="" measureGroup="ProductData" count="0" oneField="1" hidden="1">
      <fieldsUsage count="1">
        <fieldUsage x="1"/>
      </fieldsUsage>
    </cacheHierarchy>
  </cacheHierarchies>
  <kpis count="1">
    <kpi uniqueName="Profit Margin" caption="Profit Margin" displayFolder="" measureGroup="ProductData" parent="" value="[Measures].[Profit Margin]" goal="[Measures].[_Profit Margin Goal]" status="[Measures].[_Profit Margin Status]" trend="" weight=""/>
  </kpis>
  <dimensions count="3">
    <dimension measure="1" name="Measures" uniqueName="[Measures]" caption="Measures"/>
    <dimension name="ProductData" uniqueName="[ProductData]" caption="ProductData"/>
    <dimension name="SalesData" uniqueName="[SalesData]" caption="SalesData"/>
  </dimensions>
  <measureGroups count="2">
    <measureGroup name="ProductData" caption="ProductData"/>
    <measureGroup name="SalesData" caption="SalesData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534E3-5782-4185-B127-DF9852C1C67B}" name="PivotTable2" cacheId="0" applyNumberFormats="0" applyBorderFormats="0" applyFontFormats="0" applyPatternFormats="0" applyAlignmentFormats="0" applyWidthHeightFormats="1" dataCaption="Values" tag="3b61561d-fe65-4faf-a549-877d869efbc3" updatedVersion="6" minRefreshableVersion="3" useAutoFormatting="1" itemPrintTitles="1" createdVersion="6" indent="0" outline="1" outlineData="1" multipleFieldFilters="0" chartFormat="1">
  <location ref="A3:D88" firstHeaderRow="0" firstDataRow="1" firstDataCol="1"/>
  <pivotFields count="5">
    <pivotField axis="axisRow" allDrilled="1" subtotalTop="0" showAll="0" measureFilter="1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2">
    <field x="0"/>
    <field x="4"/>
  </rowFields>
  <rowItems count="8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fit Margin Status" fld="1" subtotal="count" baseField="0" baseItem="0"/>
    <dataField name="Profit Margin Goal" fld="2" subtotal="count" baseField="0" baseItem="0"/>
    <dataField name="Profit Margin" fld="3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4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5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6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8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3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4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5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6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7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8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9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4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5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7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8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0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1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2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3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4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5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6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7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8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9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4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5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6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7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8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9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0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1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2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3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4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5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6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7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8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9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4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5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6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7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8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9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0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1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2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3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4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5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6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7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8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9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0" format="86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0" format="87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4"/>
          </reference>
        </references>
      </pivotArea>
    </chartFormat>
    <chartFormat chart="0" format="88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5"/>
          </reference>
        </references>
      </pivotArea>
    </chartFormat>
    <chartFormat chart="0" format="89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6"/>
          </reference>
        </references>
      </pivotArea>
    </chartFormat>
    <chartFormat chart="0" format="90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0" format="91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8"/>
          </reference>
        </references>
      </pivotArea>
    </chartFormat>
    <chartFormat chart="0" format="92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0" format="93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0"/>
          </reference>
        </references>
      </pivotArea>
    </chartFormat>
    <chartFormat chart="0" format="94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1"/>
          </reference>
        </references>
      </pivotArea>
    </chartFormat>
    <chartFormat chart="0" format="95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2"/>
          </reference>
        </references>
      </pivotArea>
    </chartFormat>
    <chartFormat chart="0" format="96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3"/>
          </reference>
        </references>
      </pivotArea>
    </chartFormat>
    <chartFormat chart="0" format="97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4"/>
          </reference>
        </references>
      </pivotArea>
    </chartFormat>
    <chartFormat chart="0" format="98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5"/>
          </reference>
        </references>
      </pivotArea>
    </chartFormat>
    <chartFormat chart="0" format="99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6"/>
          </reference>
        </references>
      </pivotArea>
    </chartFormat>
    <chartFormat chart="0" format="100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7"/>
          </reference>
        </references>
      </pivotArea>
    </chartFormat>
    <chartFormat chart="0" format="101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8"/>
          </reference>
        </references>
      </pivotArea>
    </chartFormat>
    <chartFormat chart="0" format="102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9"/>
          </reference>
        </references>
      </pivotArea>
    </chartFormat>
    <chartFormat chart="0" format="103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0" format="104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105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0" format="106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0" format="107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4"/>
          </reference>
        </references>
      </pivotArea>
    </chartFormat>
    <chartFormat chart="0" format="108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5"/>
          </reference>
        </references>
      </pivotArea>
    </chartFormat>
    <chartFormat chart="0" format="109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0" format="110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7"/>
          </reference>
        </references>
      </pivotArea>
    </chartFormat>
    <chartFormat chart="0" format="111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8"/>
          </reference>
        </references>
      </pivotArea>
    </chartFormat>
    <chartFormat chart="0" format="112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0" format="113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0"/>
          </reference>
        </references>
      </pivotArea>
    </chartFormat>
    <chartFormat chart="0" format="114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1"/>
          </reference>
        </references>
      </pivotArea>
    </chartFormat>
    <chartFormat chart="0" format="115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2"/>
          </reference>
        </references>
      </pivotArea>
    </chartFormat>
    <chartFormat chart="0" format="116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3"/>
          </reference>
        </references>
      </pivotArea>
    </chartFormat>
    <chartFormat chart="0" format="117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4"/>
          </reference>
        </references>
      </pivotArea>
    </chartFormat>
    <chartFormat chart="0" format="118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5"/>
          </reference>
        </references>
      </pivotArea>
    </chartFormat>
    <chartFormat chart="0" format="119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6"/>
          </reference>
        </references>
      </pivotArea>
    </chartFormat>
    <chartFormat chart="0" format="120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7"/>
          </reference>
        </references>
      </pivotArea>
    </chartFormat>
    <chartFormat chart="0" format="121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8"/>
          </reference>
        </references>
      </pivotArea>
    </chartFormat>
    <chartFormat chart="0" format="122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9"/>
          </reference>
        </references>
      </pivotArea>
    </chartFormat>
    <chartFormat chart="0" format="123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0" format="124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0" format="125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0" format="126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0" format="127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4"/>
          </reference>
        </references>
      </pivotArea>
    </chartFormat>
    <chartFormat chart="0" format="128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5"/>
          </reference>
        </references>
      </pivotArea>
    </chartFormat>
    <chartFormat chart="0" format="129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6"/>
          </reference>
        </references>
      </pivotArea>
    </chartFormat>
    <chartFormat chart="0" format="130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7"/>
          </reference>
        </references>
      </pivotArea>
    </chartFormat>
    <chartFormat chart="0" format="131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8"/>
          </reference>
        </references>
      </pivotArea>
    </chartFormat>
    <chartFormat chart="0" format="132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9"/>
          </reference>
        </references>
      </pivotArea>
    </chartFormat>
    <chartFormat chart="0" format="133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0"/>
          </reference>
        </references>
      </pivotArea>
    </chartFormat>
    <chartFormat chart="0" format="134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1"/>
          </reference>
        </references>
      </pivotArea>
    </chartFormat>
    <chartFormat chart="0" format="135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2"/>
          </reference>
        </references>
      </pivotArea>
    </chartFormat>
    <chartFormat chart="0" format="136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3"/>
          </reference>
        </references>
      </pivotArea>
    </chartFormat>
    <chartFormat chart="0" format="137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4"/>
          </reference>
        </references>
      </pivotArea>
    </chartFormat>
    <chartFormat chart="0" format="138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5"/>
          </reference>
        </references>
      </pivotArea>
    </chartFormat>
    <chartFormat chart="0" format="139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6"/>
          </reference>
        </references>
      </pivotArea>
    </chartFormat>
    <chartFormat chart="0" format="140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7"/>
          </reference>
        </references>
      </pivotArea>
    </chartFormat>
    <chartFormat chart="0" format="141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8"/>
          </reference>
        </references>
      </pivotArea>
    </chartFormat>
    <chartFormat chart="0" format="142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9"/>
          </reference>
        </references>
      </pivotArea>
    </chartFormat>
    <chartFormat chart="0" format="143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0" format="144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0" format="145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0" format="146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0" format="147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4"/>
          </reference>
        </references>
      </pivotArea>
    </chartFormat>
    <chartFormat chart="0" format="148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5"/>
          </reference>
        </references>
      </pivotArea>
    </chartFormat>
    <chartFormat chart="0" format="149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6"/>
          </reference>
        </references>
      </pivotArea>
    </chartFormat>
    <chartFormat chart="0" format="150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7"/>
          </reference>
        </references>
      </pivotArea>
    </chartFormat>
    <chartFormat chart="0" format="151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8"/>
          </reference>
        </references>
      </pivotArea>
    </chartFormat>
    <chartFormat chart="0" format="152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9"/>
          </reference>
        </references>
      </pivotArea>
    </chartFormat>
    <chartFormat chart="0" format="153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0"/>
          </reference>
        </references>
      </pivotArea>
    </chartFormat>
    <chartFormat chart="0" format="154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1"/>
          </reference>
        </references>
      </pivotArea>
    </chartFormat>
    <chartFormat chart="0" format="155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2"/>
          </reference>
        </references>
      </pivotArea>
    </chartFormat>
    <chartFormat chart="0" format="156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3"/>
          </reference>
        </references>
      </pivotArea>
    </chartFormat>
    <chartFormat chart="0" format="157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4"/>
          </reference>
        </references>
      </pivotArea>
    </chartFormat>
    <chartFormat chart="0" format="158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5"/>
          </reference>
        </references>
      </pivotArea>
    </chartFormat>
    <chartFormat chart="0" format="159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6"/>
          </reference>
        </references>
      </pivotArea>
    </chartFormat>
    <chartFormat chart="0" format="160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7"/>
          </reference>
        </references>
      </pivotArea>
    </chartFormat>
    <chartFormat chart="0" format="161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8"/>
          </reference>
        </references>
      </pivotArea>
    </chartFormat>
    <chartFormat chart="0" format="162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9"/>
          </reference>
        </references>
      </pivotArea>
    </chartFormat>
    <chartFormat chart="0" format="163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0" format="164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0" format="165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0" format="166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0" format="167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4"/>
          </reference>
        </references>
      </pivotArea>
    </chartFormat>
    <chartFormat chart="0" format="168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5"/>
          </reference>
        </references>
      </pivotArea>
    </chartFormat>
    <chartFormat chart="0" format="169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6"/>
          </reference>
        </references>
      </pivotArea>
    </chartFormat>
    <chartFormat chart="0" format="170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0" format="171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8"/>
          </reference>
        </references>
      </pivotArea>
    </chartFormat>
    <chartFormat chart="0" format="172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0" format="173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0"/>
          </reference>
        </references>
      </pivotArea>
    </chartFormat>
    <chartFormat chart="0" format="174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1"/>
          </reference>
        </references>
      </pivotArea>
    </chartFormat>
    <chartFormat chart="0" format="175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2"/>
          </reference>
        </references>
      </pivotArea>
    </chartFormat>
    <chartFormat chart="0" format="176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3"/>
          </reference>
        </references>
      </pivotArea>
    </chartFormat>
    <chartFormat chart="0" format="177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4"/>
          </reference>
        </references>
      </pivotArea>
    </chartFormat>
    <chartFormat chart="0" format="178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5"/>
          </reference>
        </references>
      </pivotArea>
    </chartFormat>
    <chartFormat chart="0" format="179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6"/>
          </reference>
        </references>
      </pivotArea>
    </chartFormat>
    <chartFormat chart="0" format="180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7"/>
          </reference>
        </references>
      </pivotArea>
    </chartFormat>
    <chartFormat chart="0" format="181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8"/>
          </reference>
        </references>
      </pivotArea>
    </chartFormat>
    <chartFormat chart="0" format="182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9"/>
          </reference>
        </references>
      </pivotArea>
    </chartFormat>
    <chartFormat chart="0" format="183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0" format="184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185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0" format="186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0" format="187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4"/>
          </reference>
        </references>
      </pivotArea>
    </chartFormat>
    <chartFormat chart="0" format="188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5"/>
          </reference>
        </references>
      </pivotArea>
    </chartFormat>
    <chartFormat chart="0" format="189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0" format="190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7"/>
          </reference>
        </references>
      </pivotArea>
    </chartFormat>
    <chartFormat chart="0" format="191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8"/>
          </reference>
        </references>
      </pivotArea>
    </chartFormat>
    <chartFormat chart="0" format="192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0" format="193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0"/>
          </reference>
        </references>
      </pivotArea>
    </chartFormat>
    <chartFormat chart="0" format="194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1"/>
          </reference>
        </references>
      </pivotArea>
    </chartFormat>
    <chartFormat chart="0" format="195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2"/>
          </reference>
        </references>
      </pivotArea>
    </chartFormat>
    <chartFormat chart="0" format="196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3"/>
          </reference>
        </references>
      </pivotArea>
    </chartFormat>
    <chartFormat chart="0" format="197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4"/>
          </reference>
        </references>
      </pivotArea>
    </chartFormat>
    <chartFormat chart="0" format="198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5"/>
          </reference>
        </references>
      </pivotArea>
    </chartFormat>
    <chartFormat chart="0" format="199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6"/>
          </reference>
        </references>
      </pivotArea>
    </chartFormat>
    <chartFormat chart="0" format="200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7"/>
          </reference>
        </references>
      </pivotArea>
    </chartFormat>
    <chartFormat chart="0" format="201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8"/>
          </reference>
        </references>
      </pivotArea>
    </chartFormat>
    <chartFormat chart="0" format="202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9"/>
          </reference>
        </references>
      </pivotArea>
    </chartFormat>
    <chartFormat chart="0" format="203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0" format="204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0" format="205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0" format="206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0" format="207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4"/>
          </reference>
        </references>
      </pivotArea>
    </chartFormat>
    <chartFormat chart="0" format="208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5"/>
          </reference>
        </references>
      </pivotArea>
    </chartFormat>
    <chartFormat chart="0" format="209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6"/>
          </reference>
        </references>
      </pivotArea>
    </chartFormat>
    <chartFormat chart="0" format="210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7"/>
          </reference>
        </references>
      </pivotArea>
    </chartFormat>
    <chartFormat chart="0" format="211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8"/>
          </reference>
        </references>
      </pivotArea>
    </chartFormat>
    <chartFormat chart="0" format="212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9"/>
          </reference>
        </references>
      </pivotArea>
    </chartFormat>
    <chartFormat chart="0" format="213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0"/>
          </reference>
        </references>
      </pivotArea>
    </chartFormat>
    <chartFormat chart="0" format="214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1"/>
          </reference>
        </references>
      </pivotArea>
    </chartFormat>
    <chartFormat chart="0" format="215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2"/>
          </reference>
        </references>
      </pivotArea>
    </chartFormat>
    <chartFormat chart="0" format="216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3"/>
          </reference>
        </references>
      </pivotArea>
    </chartFormat>
    <chartFormat chart="0" format="217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4"/>
          </reference>
        </references>
      </pivotArea>
    </chartFormat>
    <chartFormat chart="0" format="218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5"/>
          </reference>
        </references>
      </pivotArea>
    </chartFormat>
    <chartFormat chart="0" format="219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6"/>
          </reference>
        </references>
      </pivotArea>
    </chartFormat>
    <chartFormat chart="0" format="220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7"/>
          </reference>
        </references>
      </pivotArea>
    </chartFormat>
    <chartFormat chart="0" format="221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8"/>
          </reference>
        </references>
      </pivotArea>
    </chartFormat>
    <chartFormat chart="0" format="222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9"/>
          </reference>
        </references>
      </pivotArea>
    </chartFormat>
    <chartFormat chart="0" format="223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0" format="224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0" format="225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0" format="226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0" format="227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4"/>
          </reference>
        </references>
      </pivotArea>
    </chartFormat>
    <chartFormat chart="0" format="228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5"/>
          </reference>
        </references>
      </pivotArea>
    </chartFormat>
    <chartFormat chart="0" format="229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6"/>
          </reference>
        </references>
      </pivotArea>
    </chartFormat>
    <chartFormat chart="0" format="230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7"/>
          </reference>
        </references>
      </pivotArea>
    </chartFormat>
    <chartFormat chart="0" format="231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8"/>
          </reference>
        </references>
      </pivotArea>
    </chartFormat>
    <chartFormat chart="0" format="232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9"/>
          </reference>
        </references>
      </pivotArea>
    </chartFormat>
    <chartFormat chart="0" format="233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0"/>
          </reference>
        </references>
      </pivotArea>
    </chartFormat>
    <chartFormat chart="0" format="234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1"/>
          </reference>
        </references>
      </pivotArea>
    </chartFormat>
    <chartFormat chart="0" format="235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2"/>
          </reference>
        </references>
      </pivotArea>
    </chartFormat>
    <chartFormat chart="0" format="236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3"/>
          </reference>
        </references>
      </pivotArea>
    </chartFormat>
    <chartFormat chart="0" format="237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4"/>
          </reference>
        </references>
      </pivotArea>
    </chartFormat>
    <chartFormat chart="0" format="238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5"/>
          </reference>
        </references>
      </pivotArea>
    </chartFormat>
    <chartFormat chart="0" format="239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6"/>
          </reference>
        </references>
      </pivotArea>
    </chartFormat>
    <chartFormat chart="0" format="240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7"/>
          </reference>
        </references>
      </pivotArea>
    </chartFormat>
    <chartFormat chart="0" format="241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8"/>
          </reference>
        </references>
      </pivotArea>
    </chartFormat>
    <chartFormat chart="0" format="242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9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2">
    <rowHierarchyUsage hierarchyUsage="6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Data]"/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E9B3C2-9693-44DF-9564-640E77028ABB}" name="ProductData" displayName="ProductData" ref="A1:D21" totalsRowShown="0">
  <autoFilter ref="A1:D21" xr:uid="{84F1AE35-33CD-4DEF-B2F6-B8EEF5304625}"/>
  <tableColumns count="4">
    <tableColumn id="1" xr3:uid="{9FD74D6F-63EE-429B-AFEF-AB0EEFB28483}" name="ProductID"/>
    <tableColumn id="2" xr3:uid="{6261CF9E-DE5A-428F-9DAA-4CF70F4FD0A3}" name="ProductName"/>
    <tableColumn id="3" xr3:uid="{F96197A7-1B93-457F-B9C9-44CB37F5B594}" name="Category"/>
    <tableColumn id="4" xr3:uid="{F4D0C91A-5B77-4D32-8A19-95A77AD6DAC7}" name="Unit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7127E-97F1-41F9-B475-D818753FC53B}" name="SalesData" displayName="SalesData" ref="A1:I201" headerRowDxfId="43" dataDxfId="41" headerRowBorderDxfId="42" tableBorderDxfId="40">
  <autoFilter ref="A1:I201" xr:uid="{1BEC8400-2F26-49CF-AB65-DAD61EAF0C18}"/>
  <tableColumns count="9">
    <tableColumn id="1" xr3:uid="{0E44FDC4-382E-42A8-98B5-AAC34C84D8A4}" name="OrderID" totalsRowLabel="Total" dataDxfId="39" totalsRowDxfId="38"/>
    <tableColumn id="2" xr3:uid="{352D3159-1DD8-43AE-8BAD-FC193F0DFCA1}" name="ProductID" dataDxfId="37" totalsRowDxfId="36"/>
    <tableColumn id="3" xr3:uid="{4337C7EC-98AF-42D4-9394-A32B052BB23E}" name="Region" dataDxfId="35" totalsRowDxfId="34"/>
    <tableColumn id="4" xr3:uid="{D8B7774B-D2A7-4BCE-856C-827D19461345}" name="Customer" dataDxfId="33" totalsRowDxfId="32"/>
    <tableColumn id="5" xr3:uid="{EB42F1E4-337C-43A3-9301-C57AD812F298}" name="Quantity" dataDxfId="31" totalsRowDxfId="30"/>
    <tableColumn id="6" xr3:uid="{EF236402-6EBB-44FA-95C9-576CDED8E920}" name="OrderDate" dataDxfId="29" totalsRowDxfId="28"/>
    <tableColumn id="7" xr3:uid="{7DB25472-C968-4202-92DD-5A31F33ACAA5}" name="UnitPrice" totalsRowFunction="average" dataDxfId="27" totalsRowDxfId="26"/>
    <tableColumn id="8" xr3:uid="{A8966F41-DBE0-4F7A-AAFF-790DDFDB4AD6}" name="Sales" totalsRowFunction="sum" dataDxfId="25" totalsRowDxfId="24"/>
    <tableColumn id="9" xr3:uid="{A3837B37-953C-4CFA-A643-922E11ACD6ED}" name="Profit" totalsRowFunction="sum" dataDxfId="23" totalsRowDxfId="2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994A-A18A-44C4-813E-9DD14F91BC1C}" name="SalesData4" displayName="SalesData4" ref="A1:I201" headerRowDxfId="21" dataDxfId="19" headerRowBorderDxfId="20" tableBorderDxfId="18">
  <autoFilter ref="A1:I201" xr:uid="{29DA065A-2272-4ABD-ABDE-31E779715925}"/>
  <tableColumns count="9">
    <tableColumn id="1" xr3:uid="{A0E75925-CCEC-4202-9845-133329774471}" name="OrderID" totalsRowLabel="Total" dataDxfId="17" totalsRowDxfId="16"/>
    <tableColumn id="2" xr3:uid="{FEDD0B91-4C6B-4048-9480-CC4D8374E91D}" name="ProductID" dataDxfId="15" totalsRowDxfId="14"/>
    <tableColumn id="3" xr3:uid="{BCD4E752-6E1C-46FF-8682-6E16B435AF8D}" name="Region" dataDxfId="13" totalsRowDxfId="12"/>
    <tableColumn id="4" xr3:uid="{D27CE8DB-ABB8-4246-8D99-F240159B6B4B}" name="Customer" dataDxfId="11" totalsRowDxfId="10"/>
    <tableColumn id="5" xr3:uid="{96BEE1A5-9227-4058-AD02-16119830AFCB}" name="Quantity" dataDxfId="9" totalsRowDxfId="8"/>
    <tableColumn id="6" xr3:uid="{10A18DAD-5C17-45AE-B1F3-98A5F816A6FC}" name="OrderDate" dataDxfId="7" totalsRowDxfId="6"/>
    <tableColumn id="7" xr3:uid="{D684339D-2182-4662-B3EB-142402473095}" name="UnitPrice" totalsRowFunction="average" dataDxfId="5" totalsRowDxfId="4"/>
    <tableColumn id="8" xr3:uid="{3C435891-5050-42DE-A993-5910BD2E996E}" name="Sales" totalsRowFunction="sum" dataDxfId="3" totalsRowDxfId="2"/>
    <tableColumn id="9" xr3:uid="{46A27AF6-6CCF-4ED2-B6D7-2FC8864A2E70}" name="Profit" totalsRowFunction="sum" dataDxfId="1" totalsRow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CD59-7534-43CA-87DD-3514F31554BE}">
  <dimension ref="A3:D88"/>
  <sheetViews>
    <sheetView workbookViewId="0">
      <selection activeCell="A4" sqref="A4"/>
    </sheetView>
  </sheetViews>
  <sheetFormatPr defaultRowHeight="14.4"/>
  <cols>
    <col min="1" max="1" width="15.44140625" bestFit="1" customWidth="1"/>
    <col min="2" max="2" width="18" bestFit="1" customWidth="1"/>
    <col min="3" max="3" width="16.44140625" bestFit="1" customWidth="1"/>
    <col min="4" max="5" width="12.109375" bestFit="1" customWidth="1"/>
  </cols>
  <sheetData>
    <row r="3" spans="1:4">
      <c r="A3" s="4" t="s">
        <v>47</v>
      </c>
      <c r="B3" t="s">
        <v>49</v>
      </c>
      <c r="C3" t="s">
        <v>50</v>
      </c>
      <c r="D3" t="s">
        <v>51</v>
      </c>
    </row>
    <row r="4" spans="1:4">
      <c r="A4" s="5" t="s">
        <v>37</v>
      </c>
      <c r="B4" s="7"/>
      <c r="C4" s="7"/>
      <c r="D4" s="7"/>
    </row>
    <row r="5" spans="1:4">
      <c r="A5" s="6" t="s">
        <v>23</v>
      </c>
      <c r="B5" s="7">
        <v>0</v>
      </c>
      <c r="C5" s="7">
        <v>0.15</v>
      </c>
      <c r="D5" s="7">
        <v>8.5367951284364807E-2</v>
      </c>
    </row>
    <row r="6" spans="1:4">
      <c r="A6" s="6" t="s">
        <v>26</v>
      </c>
      <c r="B6" s="7">
        <v>1</v>
      </c>
      <c r="C6" s="7">
        <v>0.15</v>
      </c>
      <c r="D6" s="7">
        <v>0.16014958088546219</v>
      </c>
    </row>
    <row r="7" spans="1:4">
      <c r="A7" s="6" t="s">
        <v>19</v>
      </c>
      <c r="B7" s="7">
        <v>1</v>
      </c>
      <c r="C7" s="7">
        <v>0.15</v>
      </c>
      <c r="D7" s="7">
        <v>0.16463016985147774</v>
      </c>
    </row>
    <row r="8" spans="1:4">
      <c r="A8" s="6" t="s">
        <v>24</v>
      </c>
      <c r="B8" s="7">
        <v>0</v>
      </c>
      <c r="C8" s="7">
        <v>0.15</v>
      </c>
      <c r="D8" s="7">
        <v>0.10917651938788955</v>
      </c>
    </row>
    <row r="9" spans="1:4">
      <c r="A9" s="6" t="s">
        <v>16</v>
      </c>
      <c r="B9" s="7">
        <v>1</v>
      </c>
      <c r="C9" s="7">
        <v>0.15</v>
      </c>
      <c r="D9" s="7">
        <v>0.15637149593763508</v>
      </c>
    </row>
    <row r="10" spans="1:4">
      <c r="A10" s="6" t="s">
        <v>8</v>
      </c>
      <c r="B10" s="7">
        <v>1</v>
      </c>
      <c r="C10" s="7">
        <v>0.15</v>
      </c>
      <c r="D10" s="7">
        <v>0.19181759147723942</v>
      </c>
    </row>
    <row r="11" spans="1:4">
      <c r="A11" s="6" t="s">
        <v>4</v>
      </c>
      <c r="B11" s="7">
        <v>0</v>
      </c>
      <c r="C11" s="7">
        <v>0.15</v>
      </c>
      <c r="D11" s="7">
        <v>0.11253319092006975</v>
      </c>
    </row>
    <row r="12" spans="1:4">
      <c r="A12" s="6" t="s">
        <v>9</v>
      </c>
      <c r="B12" s="7">
        <v>1</v>
      </c>
      <c r="C12" s="7">
        <v>0.15</v>
      </c>
      <c r="D12" s="7">
        <v>0.17306703371875054</v>
      </c>
    </row>
    <row r="13" spans="1:4">
      <c r="A13" s="6" t="s">
        <v>6</v>
      </c>
      <c r="B13" s="7">
        <v>1</v>
      </c>
      <c r="C13" s="7">
        <v>0.15</v>
      </c>
      <c r="D13" s="7">
        <v>0.17047071247292889</v>
      </c>
    </row>
    <row r="14" spans="1:4">
      <c r="A14" s="6" t="s">
        <v>22</v>
      </c>
      <c r="B14" s="7">
        <v>1</v>
      </c>
      <c r="C14" s="7">
        <v>0.15</v>
      </c>
      <c r="D14" s="7">
        <v>0.12697329994611359</v>
      </c>
    </row>
    <row r="15" spans="1:4">
      <c r="A15" s="6" t="s">
        <v>10</v>
      </c>
      <c r="B15" s="7">
        <v>0</v>
      </c>
      <c r="C15" s="7">
        <v>0.15</v>
      </c>
      <c r="D15" s="7">
        <v>9.4019442816219434E-2</v>
      </c>
    </row>
    <row r="16" spans="1:4">
      <c r="A16" s="6" t="s">
        <v>27</v>
      </c>
      <c r="B16" s="7">
        <v>1</v>
      </c>
      <c r="C16" s="7">
        <v>0.15</v>
      </c>
      <c r="D16" s="7">
        <v>0.12014367156152771</v>
      </c>
    </row>
    <row r="17" spans="1:4">
      <c r="A17" s="6" t="s">
        <v>11</v>
      </c>
      <c r="B17" s="7">
        <v>1</v>
      </c>
      <c r="C17" s="7">
        <v>0.15</v>
      </c>
      <c r="D17" s="7">
        <v>0.12176242134196938</v>
      </c>
    </row>
    <row r="18" spans="1:4">
      <c r="A18" s="6" t="s">
        <v>13</v>
      </c>
      <c r="B18" s="7">
        <v>1</v>
      </c>
      <c r="C18" s="7">
        <v>0.15</v>
      </c>
      <c r="D18" s="7">
        <v>0.19179524711295684</v>
      </c>
    </row>
    <row r="19" spans="1:4">
      <c r="A19" s="6" t="s">
        <v>17</v>
      </c>
      <c r="B19" s="7">
        <v>1</v>
      </c>
      <c r="C19" s="7">
        <v>0.15</v>
      </c>
      <c r="D19" s="7">
        <v>0.19571497425990805</v>
      </c>
    </row>
    <row r="20" spans="1:4">
      <c r="A20" s="6" t="s">
        <v>18</v>
      </c>
      <c r="B20" s="7">
        <v>1</v>
      </c>
      <c r="C20" s="7">
        <v>0.15</v>
      </c>
      <c r="D20" s="7">
        <v>0.17032023777572081</v>
      </c>
    </row>
    <row r="21" spans="1:4">
      <c r="A21" s="6" t="s">
        <v>21</v>
      </c>
      <c r="B21" s="7">
        <v>-1</v>
      </c>
      <c r="C21" s="7">
        <v>0.15</v>
      </c>
      <c r="D21" s="7">
        <v>5.4604520957527318E-2</v>
      </c>
    </row>
    <row r="22" spans="1:4">
      <c r="A22" s="6" t="s">
        <v>14</v>
      </c>
      <c r="B22" s="7">
        <v>1</v>
      </c>
      <c r="C22" s="7">
        <v>0.15</v>
      </c>
      <c r="D22" s="7">
        <v>0.14823060283135547</v>
      </c>
    </row>
    <row r="23" spans="1:4">
      <c r="A23" s="6" t="s">
        <v>25</v>
      </c>
      <c r="B23" s="7"/>
      <c r="C23" s="7">
        <v>0.15</v>
      </c>
      <c r="D23" s="7"/>
    </row>
    <row r="24" spans="1:4">
      <c r="A24" s="6" t="s">
        <v>15</v>
      </c>
      <c r="B24" s="7"/>
      <c r="C24" s="7">
        <v>0.15</v>
      </c>
      <c r="D24" s="7"/>
    </row>
    <row r="25" spans="1:4">
      <c r="A25" s="5" t="s">
        <v>44</v>
      </c>
      <c r="B25" s="7"/>
      <c r="C25" s="7"/>
      <c r="D25" s="7"/>
    </row>
    <row r="26" spans="1:4">
      <c r="A26" s="6" t="s">
        <v>23</v>
      </c>
      <c r="B26" s="7">
        <v>1</v>
      </c>
      <c r="C26" s="7">
        <v>0.15</v>
      </c>
      <c r="D26" s="7">
        <v>0.13533818875968037</v>
      </c>
    </row>
    <row r="27" spans="1:4">
      <c r="A27" s="6" t="s">
        <v>26</v>
      </c>
      <c r="B27" s="7">
        <v>1</v>
      </c>
      <c r="C27" s="7">
        <v>0.15</v>
      </c>
      <c r="D27" s="7">
        <v>0.15729627029691901</v>
      </c>
    </row>
    <row r="28" spans="1:4">
      <c r="A28" s="6" t="s">
        <v>19</v>
      </c>
      <c r="B28" s="7">
        <v>0</v>
      </c>
      <c r="C28" s="7">
        <v>0.15</v>
      </c>
      <c r="D28" s="7">
        <v>7.4585095689301301E-2</v>
      </c>
    </row>
    <row r="29" spans="1:4">
      <c r="A29" s="6" t="s">
        <v>24</v>
      </c>
      <c r="B29" s="7">
        <v>1</v>
      </c>
      <c r="C29" s="7">
        <v>0.15</v>
      </c>
      <c r="D29" s="7">
        <v>0.1500609188633994</v>
      </c>
    </row>
    <row r="30" spans="1:4">
      <c r="A30" s="6" t="s">
        <v>16</v>
      </c>
      <c r="B30" s="7">
        <v>1</v>
      </c>
      <c r="C30" s="7">
        <v>0.15</v>
      </c>
      <c r="D30" s="7">
        <v>0.2073358538967339</v>
      </c>
    </row>
    <row r="31" spans="1:4">
      <c r="A31" s="6" t="s">
        <v>8</v>
      </c>
      <c r="B31" s="7">
        <v>1</v>
      </c>
      <c r="C31" s="7">
        <v>0.15</v>
      </c>
      <c r="D31" s="7">
        <v>0.17555968507812883</v>
      </c>
    </row>
    <row r="32" spans="1:4">
      <c r="A32" s="6" t="s">
        <v>4</v>
      </c>
      <c r="B32" s="7">
        <v>1</v>
      </c>
      <c r="C32" s="7">
        <v>0.15</v>
      </c>
      <c r="D32" s="7">
        <v>0.17321627860261049</v>
      </c>
    </row>
    <row r="33" spans="1:4">
      <c r="A33" s="6" t="s">
        <v>9</v>
      </c>
      <c r="B33" s="7">
        <v>0</v>
      </c>
      <c r="C33" s="7">
        <v>0.15</v>
      </c>
      <c r="D33" s="7">
        <v>8.5542525129619545E-2</v>
      </c>
    </row>
    <row r="34" spans="1:4">
      <c r="A34" s="6" t="s">
        <v>6</v>
      </c>
      <c r="B34" s="7">
        <v>1</v>
      </c>
      <c r="C34" s="7">
        <v>0.15</v>
      </c>
      <c r="D34" s="7">
        <v>0.18327525166535696</v>
      </c>
    </row>
    <row r="35" spans="1:4">
      <c r="A35" s="6" t="s">
        <v>22</v>
      </c>
      <c r="B35" s="7">
        <v>1</v>
      </c>
      <c r="C35" s="7">
        <v>0.15</v>
      </c>
      <c r="D35" s="7">
        <v>0.17243535952404979</v>
      </c>
    </row>
    <row r="36" spans="1:4">
      <c r="A36" s="6" t="s">
        <v>10</v>
      </c>
      <c r="B36" s="7">
        <v>1</v>
      </c>
      <c r="C36" s="7">
        <v>0.15</v>
      </c>
      <c r="D36" s="7">
        <v>0.13994182088638046</v>
      </c>
    </row>
    <row r="37" spans="1:4">
      <c r="A37" s="6" t="s">
        <v>27</v>
      </c>
      <c r="B37" s="7">
        <v>1</v>
      </c>
      <c r="C37" s="7">
        <v>0.15</v>
      </c>
      <c r="D37" s="7">
        <v>0.14884278984759911</v>
      </c>
    </row>
    <row r="38" spans="1:4">
      <c r="A38" s="6" t="s">
        <v>11</v>
      </c>
      <c r="B38" s="7">
        <v>0</v>
      </c>
      <c r="C38" s="7">
        <v>0.15</v>
      </c>
      <c r="D38" s="7">
        <v>0.11229463422655123</v>
      </c>
    </row>
    <row r="39" spans="1:4">
      <c r="A39" s="6" t="s">
        <v>13</v>
      </c>
      <c r="B39" s="7">
        <v>1</v>
      </c>
      <c r="C39" s="7">
        <v>0.15</v>
      </c>
      <c r="D39" s="7">
        <v>0.20569946858724342</v>
      </c>
    </row>
    <row r="40" spans="1:4">
      <c r="A40" s="6" t="s">
        <v>17</v>
      </c>
      <c r="B40" s="7">
        <v>1</v>
      </c>
      <c r="C40" s="7">
        <v>0.15</v>
      </c>
      <c r="D40" s="7">
        <v>0.2106426330434738</v>
      </c>
    </row>
    <row r="41" spans="1:4">
      <c r="A41" s="6" t="s">
        <v>18</v>
      </c>
      <c r="B41" s="7">
        <v>0</v>
      </c>
      <c r="C41" s="7">
        <v>0.15</v>
      </c>
      <c r="D41" s="7">
        <v>9.0346092466046857E-2</v>
      </c>
    </row>
    <row r="42" spans="1:4">
      <c r="A42" s="6" t="s">
        <v>21</v>
      </c>
      <c r="B42" s="7">
        <v>1</v>
      </c>
      <c r="C42" s="7">
        <v>0.15</v>
      </c>
      <c r="D42" s="7">
        <v>0.23157322609250316</v>
      </c>
    </row>
    <row r="43" spans="1:4">
      <c r="A43" s="6" t="s">
        <v>14</v>
      </c>
      <c r="B43" s="7"/>
      <c r="C43" s="7">
        <v>0.15</v>
      </c>
      <c r="D43" s="7"/>
    </row>
    <row r="44" spans="1:4">
      <c r="A44" s="6" t="s">
        <v>25</v>
      </c>
      <c r="B44" s="7">
        <v>1</v>
      </c>
      <c r="C44" s="7">
        <v>0.15</v>
      </c>
      <c r="D44" s="7">
        <v>0.17784956388223841</v>
      </c>
    </row>
    <row r="45" spans="1:4">
      <c r="A45" s="6" t="s">
        <v>15</v>
      </c>
      <c r="B45" s="7">
        <v>1</v>
      </c>
      <c r="C45" s="7">
        <v>0.15</v>
      </c>
      <c r="D45" s="7">
        <v>0.208473215263317</v>
      </c>
    </row>
    <row r="46" spans="1:4">
      <c r="A46" s="5" t="s">
        <v>35</v>
      </c>
      <c r="B46" s="7"/>
      <c r="C46" s="7"/>
      <c r="D46" s="7"/>
    </row>
    <row r="47" spans="1:4">
      <c r="A47" s="6" t="s">
        <v>23</v>
      </c>
      <c r="B47" s="7"/>
      <c r="C47" s="7">
        <v>0.15</v>
      </c>
      <c r="D47" s="7"/>
    </row>
    <row r="48" spans="1:4">
      <c r="A48" s="6" t="s">
        <v>26</v>
      </c>
      <c r="B48" s="7">
        <v>1</v>
      </c>
      <c r="C48" s="7">
        <v>0.15</v>
      </c>
      <c r="D48" s="7">
        <v>0.19332071113956156</v>
      </c>
    </row>
    <row r="49" spans="1:4">
      <c r="A49" s="6" t="s">
        <v>19</v>
      </c>
      <c r="B49" s="7">
        <v>1</v>
      </c>
      <c r="C49" s="7">
        <v>0.15</v>
      </c>
      <c r="D49" s="7">
        <v>0.19139609224869172</v>
      </c>
    </row>
    <row r="50" spans="1:4">
      <c r="A50" s="6" t="s">
        <v>24</v>
      </c>
      <c r="B50" s="7">
        <v>1</v>
      </c>
      <c r="C50" s="7">
        <v>0.15</v>
      </c>
      <c r="D50" s="7">
        <v>0.17654931026711509</v>
      </c>
    </row>
    <row r="51" spans="1:4">
      <c r="A51" s="6" t="s">
        <v>16</v>
      </c>
      <c r="B51" s="7">
        <v>0</v>
      </c>
      <c r="C51" s="7">
        <v>0.15</v>
      </c>
      <c r="D51" s="7">
        <v>8.5228258445255722E-2</v>
      </c>
    </row>
    <row r="52" spans="1:4">
      <c r="A52" s="6" t="s">
        <v>8</v>
      </c>
      <c r="B52" s="7">
        <v>0</v>
      </c>
      <c r="C52" s="7">
        <v>0.15</v>
      </c>
      <c r="D52" s="7">
        <v>0.10627764299099764</v>
      </c>
    </row>
    <row r="53" spans="1:4">
      <c r="A53" s="6" t="s">
        <v>4</v>
      </c>
      <c r="B53" s="7">
        <v>1</v>
      </c>
      <c r="C53" s="7">
        <v>0.15</v>
      </c>
      <c r="D53" s="7">
        <v>0.14756894998226</v>
      </c>
    </row>
    <row r="54" spans="1:4">
      <c r="A54" s="6" t="s">
        <v>9</v>
      </c>
      <c r="B54" s="7">
        <v>1</v>
      </c>
      <c r="C54" s="7">
        <v>0.15</v>
      </c>
      <c r="D54" s="7">
        <v>0.18320352639126714</v>
      </c>
    </row>
    <row r="55" spans="1:4">
      <c r="A55" s="6" t="s">
        <v>6</v>
      </c>
      <c r="B55" s="7">
        <v>1</v>
      </c>
      <c r="C55" s="7">
        <v>0.15</v>
      </c>
      <c r="D55" s="7">
        <v>0.20630289635028284</v>
      </c>
    </row>
    <row r="56" spans="1:4">
      <c r="A56" s="6" t="s">
        <v>22</v>
      </c>
      <c r="B56" s="7">
        <v>1</v>
      </c>
      <c r="C56" s="7">
        <v>0.15</v>
      </c>
      <c r="D56" s="7">
        <v>0.16547287811890143</v>
      </c>
    </row>
    <row r="57" spans="1:4">
      <c r="A57" s="6" t="s">
        <v>10</v>
      </c>
      <c r="B57" s="7">
        <v>1</v>
      </c>
      <c r="C57" s="7">
        <v>0.15</v>
      </c>
      <c r="D57" s="7">
        <v>0.13454730571447371</v>
      </c>
    </row>
    <row r="58" spans="1:4">
      <c r="A58" s="6" t="s">
        <v>27</v>
      </c>
      <c r="B58" s="7">
        <v>1</v>
      </c>
      <c r="C58" s="7">
        <v>0.15</v>
      </c>
      <c r="D58" s="7">
        <v>0.21014995429722419</v>
      </c>
    </row>
    <row r="59" spans="1:4">
      <c r="A59" s="6" t="s">
        <v>11</v>
      </c>
      <c r="B59" s="7">
        <v>1</v>
      </c>
      <c r="C59" s="7">
        <v>0.15</v>
      </c>
      <c r="D59" s="7">
        <v>0.22948608196377721</v>
      </c>
    </row>
    <row r="60" spans="1:4">
      <c r="A60" s="6" t="s">
        <v>13</v>
      </c>
      <c r="B60" s="7">
        <v>1</v>
      </c>
      <c r="C60" s="7">
        <v>0.15</v>
      </c>
      <c r="D60" s="7">
        <v>0.17200376205698711</v>
      </c>
    </row>
    <row r="61" spans="1:4">
      <c r="A61" s="6" t="s">
        <v>17</v>
      </c>
      <c r="B61" s="7">
        <v>1</v>
      </c>
      <c r="C61" s="7">
        <v>0.15</v>
      </c>
      <c r="D61" s="7">
        <v>0.14616739561781461</v>
      </c>
    </row>
    <row r="62" spans="1:4">
      <c r="A62" s="6" t="s">
        <v>18</v>
      </c>
      <c r="B62" s="7">
        <v>1</v>
      </c>
      <c r="C62" s="7">
        <v>0.15</v>
      </c>
      <c r="D62" s="7">
        <v>0.145959824414304</v>
      </c>
    </row>
    <row r="63" spans="1:4">
      <c r="A63" s="6" t="s">
        <v>21</v>
      </c>
      <c r="B63" s="7">
        <v>1</v>
      </c>
      <c r="C63" s="7">
        <v>0.15</v>
      </c>
      <c r="D63" s="7">
        <v>0.22862015435132449</v>
      </c>
    </row>
    <row r="64" spans="1:4">
      <c r="A64" s="6" t="s">
        <v>14</v>
      </c>
      <c r="B64" s="7">
        <v>1</v>
      </c>
      <c r="C64" s="7">
        <v>0.15</v>
      </c>
      <c r="D64" s="7">
        <v>0.19568576949208763</v>
      </c>
    </row>
    <row r="65" spans="1:4">
      <c r="A65" s="6" t="s">
        <v>25</v>
      </c>
      <c r="B65" s="7">
        <v>1</v>
      </c>
      <c r="C65" s="7">
        <v>0.15</v>
      </c>
      <c r="D65" s="7">
        <v>0.14908472528079328</v>
      </c>
    </row>
    <row r="66" spans="1:4">
      <c r="A66" s="6" t="s">
        <v>15</v>
      </c>
      <c r="B66" s="7">
        <v>0</v>
      </c>
      <c r="C66" s="7">
        <v>0.15</v>
      </c>
      <c r="D66" s="7">
        <v>9.0908918633892721E-2</v>
      </c>
    </row>
    <row r="67" spans="1:4">
      <c r="A67" s="5" t="s">
        <v>41</v>
      </c>
      <c r="B67" s="7"/>
      <c r="C67" s="7"/>
      <c r="D67" s="7"/>
    </row>
    <row r="68" spans="1:4">
      <c r="A68" s="6" t="s">
        <v>23</v>
      </c>
      <c r="B68" s="7">
        <v>1</v>
      </c>
      <c r="C68" s="7">
        <v>0.15</v>
      </c>
      <c r="D68" s="7">
        <v>0.14400076732741876</v>
      </c>
    </row>
    <row r="69" spans="1:4">
      <c r="A69" s="6" t="s">
        <v>26</v>
      </c>
      <c r="B69" s="7">
        <v>0</v>
      </c>
      <c r="C69" s="7">
        <v>0.15</v>
      </c>
      <c r="D69" s="7">
        <v>0.11135195919752647</v>
      </c>
    </row>
    <row r="70" spans="1:4">
      <c r="A70" s="6" t="s">
        <v>19</v>
      </c>
      <c r="B70" s="7">
        <v>1</v>
      </c>
      <c r="C70" s="7">
        <v>0.15</v>
      </c>
      <c r="D70" s="7">
        <v>0.13428103520172288</v>
      </c>
    </row>
    <row r="71" spans="1:4">
      <c r="A71" s="6" t="s">
        <v>24</v>
      </c>
      <c r="B71" s="7">
        <v>0</v>
      </c>
      <c r="C71" s="7">
        <v>0.15</v>
      </c>
      <c r="D71" s="7">
        <v>7.8672295674021592E-2</v>
      </c>
    </row>
    <row r="72" spans="1:4">
      <c r="A72" s="6" t="s">
        <v>16</v>
      </c>
      <c r="B72" s="7">
        <v>1</v>
      </c>
      <c r="C72" s="7">
        <v>0.15</v>
      </c>
      <c r="D72" s="7">
        <v>0.17074430634602794</v>
      </c>
    </row>
    <row r="73" spans="1:4">
      <c r="A73" s="6" t="s">
        <v>8</v>
      </c>
      <c r="B73" s="7">
        <v>1</v>
      </c>
      <c r="C73" s="7">
        <v>0.15</v>
      </c>
      <c r="D73" s="7">
        <v>0.14813241865486201</v>
      </c>
    </row>
    <row r="74" spans="1:4">
      <c r="A74" s="6" t="s">
        <v>4</v>
      </c>
      <c r="B74" s="7">
        <v>1</v>
      </c>
      <c r="C74" s="7">
        <v>0.15</v>
      </c>
      <c r="D74" s="7">
        <v>0.16774078037560514</v>
      </c>
    </row>
    <row r="75" spans="1:4">
      <c r="A75" s="6" t="s">
        <v>9</v>
      </c>
      <c r="B75" s="7">
        <v>1</v>
      </c>
      <c r="C75" s="7">
        <v>0.15</v>
      </c>
      <c r="D75" s="7">
        <v>0.13228445177724679</v>
      </c>
    </row>
    <row r="76" spans="1:4">
      <c r="A76" s="6" t="s">
        <v>6</v>
      </c>
      <c r="B76" s="7">
        <v>1</v>
      </c>
      <c r="C76" s="7">
        <v>0.15</v>
      </c>
      <c r="D76" s="7">
        <v>0.19369646636570739</v>
      </c>
    </row>
    <row r="77" spans="1:4">
      <c r="A77" s="6" t="s">
        <v>22</v>
      </c>
      <c r="B77" s="7"/>
      <c r="C77" s="7">
        <v>0.15</v>
      </c>
      <c r="D77" s="7"/>
    </row>
    <row r="78" spans="1:4">
      <c r="A78" s="6" t="s">
        <v>10</v>
      </c>
      <c r="B78" s="7">
        <v>1</v>
      </c>
      <c r="C78" s="7">
        <v>0.15</v>
      </c>
      <c r="D78" s="7">
        <v>0.22014549200329109</v>
      </c>
    </row>
    <row r="79" spans="1:4">
      <c r="A79" s="6" t="s">
        <v>27</v>
      </c>
      <c r="B79" s="7">
        <v>1</v>
      </c>
      <c r="C79" s="7">
        <v>0.15</v>
      </c>
      <c r="D79" s="7">
        <v>0.230853721061793</v>
      </c>
    </row>
    <row r="80" spans="1:4">
      <c r="A80" s="6" t="s">
        <v>11</v>
      </c>
      <c r="B80" s="7">
        <v>1</v>
      </c>
      <c r="C80" s="7">
        <v>0.15</v>
      </c>
      <c r="D80" s="7">
        <v>0.15136052633171257</v>
      </c>
    </row>
    <row r="81" spans="1:4">
      <c r="A81" s="6" t="s">
        <v>13</v>
      </c>
      <c r="B81" s="7">
        <v>1</v>
      </c>
      <c r="C81" s="7">
        <v>0.15</v>
      </c>
      <c r="D81" s="7">
        <v>0.17830345062441105</v>
      </c>
    </row>
    <row r="82" spans="1:4">
      <c r="A82" s="6" t="s">
        <v>17</v>
      </c>
      <c r="B82" s="7">
        <v>0</v>
      </c>
      <c r="C82" s="7">
        <v>0.15</v>
      </c>
      <c r="D82" s="7">
        <v>0.10181721993596902</v>
      </c>
    </row>
    <row r="83" spans="1:4">
      <c r="A83" s="6" t="s">
        <v>18</v>
      </c>
      <c r="B83" s="7">
        <v>1</v>
      </c>
      <c r="C83" s="7">
        <v>0.15</v>
      </c>
      <c r="D83" s="7">
        <v>0.16438037325862837</v>
      </c>
    </row>
    <row r="84" spans="1:4">
      <c r="A84" s="6" t="s">
        <v>21</v>
      </c>
      <c r="B84" s="7">
        <v>1</v>
      </c>
      <c r="C84" s="7">
        <v>0.15</v>
      </c>
      <c r="D84" s="7">
        <v>0.13162820289099539</v>
      </c>
    </row>
    <row r="85" spans="1:4">
      <c r="A85" s="6" t="s">
        <v>14</v>
      </c>
      <c r="B85" s="7">
        <v>1</v>
      </c>
      <c r="C85" s="7">
        <v>0.15</v>
      </c>
      <c r="D85" s="7">
        <v>0.13989535444073758</v>
      </c>
    </row>
    <row r="86" spans="1:4">
      <c r="A86" s="6" t="s">
        <v>25</v>
      </c>
      <c r="B86" s="7">
        <v>1</v>
      </c>
      <c r="C86" s="7">
        <v>0.15</v>
      </c>
      <c r="D86" s="7">
        <v>0.13879838734703698</v>
      </c>
    </row>
    <row r="87" spans="1:4">
      <c r="A87" s="6" t="s">
        <v>15</v>
      </c>
      <c r="B87" s="7">
        <v>0</v>
      </c>
      <c r="C87" s="7">
        <v>0.15</v>
      </c>
      <c r="D87" s="7">
        <v>0.11477646560903033</v>
      </c>
    </row>
    <row r="88" spans="1:4">
      <c r="A88" s="5" t="s">
        <v>48</v>
      </c>
      <c r="B88" s="7">
        <v>1</v>
      </c>
      <c r="C88" s="7">
        <v>0.15</v>
      </c>
      <c r="D88" s="7">
        <v>0.15481915904663585</v>
      </c>
    </row>
  </sheetData>
  <conditionalFormatting pivot="1" sqref="B4:B88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A84D-6C17-41F1-BD8C-FB9AAD27675B}">
  <dimension ref="A1:D21"/>
  <sheetViews>
    <sheetView workbookViewId="0">
      <selection activeCell="C21" sqref="A2:D21"/>
    </sheetView>
  </sheetViews>
  <sheetFormatPr defaultRowHeight="14.4"/>
  <cols>
    <col min="1" max="1" width="11.33203125" customWidth="1"/>
    <col min="2" max="2" width="14.5546875" customWidth="1"/>
    <col min="3" max="3" width="10.44140625" bestFit="1" customWidth="1"/>
    <col min="4" max="4" width="10.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 t="s">
        <v>5</v>
      </c>
      <c r="D2">
        <v>36970</v>
      </c>
    </row>
    <row r="3" spans="1:4">
      <c r="A3">
        <v>102</v>
      </c>
      <c r="B3" t="s">
        <v>6</v>
      </c>
      <c r="C3" t="s">
        <v>7</v>
      </c>
      <c r="D3">
        <v>20365</v>
      </c>
    </row>
    <row r="4" spans="1:4">
      <c r="A4">
        <v>103</v>
      </c>
      <c r="B4" t="s">
        <v>8</v>
      </c>
      <c r="C4" t="s">
        <v>7</v>
      </c>
      <c r="D4">
        <v>21175</v>
      </c>
    </row>
    <row r="5" spans="1:4">
      <c r="A5">
        <v>104</v>
      </c>
      <c r="B5" t="s">
        <v>9</v>
      </c>
      <c r="C5" t="s">
        <v>5</v>
      </c>
      <c r="D5">
        <v>42430</v>
      </c>
    </row>
    <row r="6" spans="1:4">
      <c r="A6">
        <v>105</v>
      </c>
      <c r="B6" t="s">
        <v>10</v>
      </c>
      <c r="C6" t="s">
        <v>5</v>
      </c>
      <c r="D6">
        <v>18639</v>
      </c>
    </row>
    <row r="7" spans="1:4">
      <c r="A7">
        <v>106</v>
      </c>
      <c r="B7" t="s">
        <v>11</v>
      </c>
      <c r="C7" t="s">
        <v>12</v>
      </c>
      <c r="D7">
        <v>20269</v>
      </c>
    </row>
    <row r="8" spans="1:4">
      <c r="A8">
        <v>107</v>
      </c>
      <c r="B8" t="s">
        <v>13</v>
      </c>
      <c r="C8" t="s">
        <v>5</v>
      </c>
      <c r="D8">
        <v>39276</v>
      </c>
    </row>
    <row r="9" spans="1:4">
      <c r="A9">
        <v>108</v>
      </c>
      <c r="B9" t="s">
        <v>14</v>
      </c>
      <c r="C9" t="s">
        <v>5</v>
      </c>
      <c r="D9">
        <v>30446</v>
      </c>
    </row>
    <row r="10" spans="1:4">
      <c r="A10">
        <v>109</v>
      </c>
      <c r="B10" t="s">
        <v>15</v>
      </c>
      <c r="C10" t="s">
        <v>7</v>
      </c>
      <c r="D10">
        <v>23978</v>
      </c>
    </row>
    <row r="11" spans="1:4">
      <c r="A11">
        <v>110</v>
      </c>
      <c r="B11" t="s">
        <v>16</v>
      </c>
      <c r="C11" t="s">
        <v>7</v>
      </c>
      <c r="D11">
        <v>35299</v>
      </c>
    </row>
    <row r="12" spans="1:4">
      <c r="A12">
        <v>111</v>
      </c>
      <c r="B12" t="s">
        <v>17</v>
      </c>
      <c r="C12" t="s">
        <v>5</v>
      </c>
      <c r="D12">
        <v>14664</v>
      </c>
    </row>
    <row r="13" spans="1:4">
      <c r="A13">
        <v>112</v>
      </c>
      <c r="B13" t="s">
        <v>18</v>
      </c>
      <c r="C13" t="s">
        <v>7</v>
      </c>
      <c r="D13">
        <v>34365</v>
      </c>
    </row>
    <row r="14" spans="1:4">
      <c r="A14">
        <v>113</v>
      </c>
      <c r="B14" t="s">
        <v>19</v>
      </c>
      <c r="C14" t="s">
        <v>20</v>
      </c>
      <c r="D14">
        <v>4587</v>
      </c>
    </row>
    <row r="15" spans="1:4">
      <c r="A15">
        <v>114</v>
      </c>
      <c r="B15" t="s">
        <v>21</v>
      </c>
      <c r="C15" t="s">
        <v>20</v>
      </c>
      <c r="D15">
        <v>4485</v>
      </c>
    </row>
    <row r="16" spans="1:4">
      <c r="A16">
        <v>115</v>
      </c>
      <c r="B16" t="s">
        <v>22</v>
      </c>
      <c r="C16" t="s">
        <v>7</v>
      </c>
      <c r="D16">
        <v>45111</v>
      </c>
    </row>
    <row r="17" spans="1:4">
      <c r="A17">
        <v>116</v>
      </c>
      <c r="B17" t="s">
        <v>23</v>
      </c>
      <c r="C17" t="s">
        <v>7</v>
      </c>
      <c r="D17">
        <v>26393</v>
      </c>
    </row>
    <row r="18" spans="1:4">
      <c r="A18">
        <v>117</v>
      </c>
      <c r="B18" t="s">
        <v>24</v>
      </c>
      <c r="C18" t="s">
        <v>7</v>
      </c>
      <c r="D18">
        <v>3922</v>
      </c>
    </row>
    <row r="19" spans="1:4">
      <c r="A19">
        <v>118</v>
      </c>
      <c r="B19" t="s">
        <v>25</v>
      </c>
      <c r="C19" t="s">
        <v>7</v>
      </c>
      <c r="D19">
        <v>23357</v>
      </c>
    </row>
    <row r="20" spans="1:4">
      <c r="A20">
        <v>119</v>
      </c>
      <c r="B20" t="s">
        <v>26</v>
      </c>
      <c r="C20" t="s">
        <v>5</v>
      </c>
      <c r="D20">
        <v>18864</v>
      </c>
    </row>
    <row r="21" spans="1:4">
      <c r="A21">
        <v>120</v>
      </c>
      <c r="B21" t="s">
        <v>27</v>
      </c>
      <c r="C21" t="s">
        <v>20</v>
      </c>
      <c r="D21">
        <v>39145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5191-9167-4081-BF23-042F3281DC0F}">
  <dimension ref="A1:I201"/>
  <sheetViews>
    <sheetView workbookViewId="0">
      <selection activeCell="G25" sqref="A1:I201"/>
    </sheetView>
  </sheetViews>
  <sheetFormatPr defaultRowHeight="14.4"/>
  <cols>
    <col min="1" max="1" width="9.44140625" customWidth="1"/>
    <col min="2" max="2" width="11.33203125" customWidth="1"/>
    <col min="3" max="3" width="8.6640625" customWidth="1"/>
    <col min="4" max="4" width="11" customWidth="1"/>
    <col min="5" max="5" width="10.33203125" customWidth="1"/>
    <col min="6" max="6" width="18.109375" bestFit="1" customWidth="1"/>
    <col min="7" max="7" width="10.5546875" customWidth="1"/>
    <col min="8" max="8" width="7.109375" customWidth="1"/>
    <col min="9" max="9" width="12" bestFit="1" customWidth="1"/>
  </cols>
  <sheetData>
    <row r="1" spans="1:9">
      <c r="A1" s="3" t="s">
        <v>28</v>
      </c>
      <c r="B1" s="3" t="s">
        <v>0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</v>
      </c>
      <c r="H1" s="3" t="s">
        <v>33</v>
      </c>
      <c r="I1" s="3" t="s">
        <v>34</v>
      </c>
    </row>
    <row r="2" spans="1:9">
      <c r="A2" s="1">
        <v>1001</v>
      </c>
      <c r="B2" s="1">
        <v>107</v>
      </c>
      <c r="C2" s="1" t="s">
        <v>35</v>
      </c>
      <c r="D2" s="1" t="s">
        <v>36</v>
      </c>
      <c r="E2" s="1">
        <v>3</v>
      </c>
      <c r="F2" s="2">
        <v>45080</v>
      </c>
      <c r="G2" s="1">
        <v>39276</v>
      </c>
      <c r="H2" s="1">
        <v>117828</v>
      </c>
      <c r="I2" s="1">
        <v>25653.101145362602</v>
      </c>
    </row>
    <row r="3" spans="1:9">
      <c r="A3" s="1">
        <v>1002</v>
      </c>
      <c r="B3" s="1">
        <v>120</v>
      </c>
      <c r="C3" s="1" t="s">
        <v>37</v>
      </c>
      <c r="D3" s="1" t="s">
        <v>38</v>
      </c>
      <c r="E3" s="1">
        <v>2</v>
      </c>
      <c r="F3" s="2">
        <v>45176</v>
      </c>
      <c r="G3" s="1">
        <v>39145</v>
      </c>
      <c r="H3" s="1">
        <v>78290</v>
      </c>
      <c r="I3" s="1">
        <v>7125.6044368202301</v>
      </c>
    </row>
    <row r="4" spans="1:9">
      <c r="A4" s="1">
        <v>1003</v>
      </c>
      <c r="B4" s="1">
        <v>115</v>
      </c>
      <c r="C4" s="1" t="s">
        <v>37</v>
      </c>
      <c r="D4" s="1" t="s">
        <v>39</v>
      </c>
      <c r="E4" s="1">
        <v>3</v>
      </c>
      <c r="F4" s="2">
        <v>45600</v>
      </c>
      <c r="G4" s="1">
        <v>45111</v>
      </c>
      <c r="H4" s="1">
        <v>135333</v>
      </c>
      <c r="I4" s="1">
        <v>32966.9582004435</v>
      </c>
    </row>
    <row r="5" spans="1:9">
      <c r="A5" s="1">
        <v>1004</v>
      </c>
      <c r="B5" s="1">
        <v>111</v>
      </c>
      <c r="C5" s="1" t="s">
        <v>37</v>
      </c>
      <c r="D5" s="1" t="s">
        <v>40</v>
      </c>
      <c r="E5" s="1">
        <v>7</v>
      </c>
      <c r="F5" s="2">
        <v>45364</v>
      </c>
      <c r="G5" s="1">
        <v>14664</v>
      </c>
      <c r="H5" s="1">
        <v>102648</v>
      </c>
      <c r="I5" s="1">
        <v>19727.9700095269</v>
      </c>
    </row>
    <row r="6" spans="1:9">
      <c r="A6" s="1">
        <v>1005</v>
      </c>
      <c r="B6" s="1">
        <v>108</v>
      </c>
      <c r="C6" s="1" t="s">
        <v>41</v>
      </c>
      <c r="D6" s="1" t="s">
        <v>42</v>
      </c>
      <c r="E6" s="1">
        <v>1</v>
      </c>
      <c r="F6" s="2">
        <v>45044</v>
      </c>
      <c r="G6" s="1">
        <v>30446</v>
      </c>
      <c r="H6" s="1">
        <v>30446</v>
      </c>
      <c r="I6" s="1">
        <v>2737.1375819485002</v>
      </c>
    </row>
    <row r="7" spans="1:9">
      <c r="A7" s="1">
        <v>1006</v>
      </c>
      <c r="B7" s="1">
        <v>107</v>
      </c>
      <c r="C7" s="1" t="s">
        <v>41</v>
      </c>
      <c r="D7" s="1" t="s">
        <v>36</v>
      </c>
      <c r="E7" s="1">
        <v>8</v>
      </c>
      <c r="F7" s="2">
        <v>45232</v>
      </c>
      <c r="G7" s="1">
        <v>39276</v>
      </c>
      <c r="H7" s="1">
        <v>314208</v>
      </c>
      <c r="I7" s="1">
        <v>61977.3510191069</v>
      </c>
    </row>
    <row r="8" spans="1:9">
      <c r="A8" s="1">
        <v>1007</v>
      </c>
      <c r="B8" s="1">
        <v>119</v>
      </c>
      <c r="C8" s="1" t="s">
        <v>37</v>
      </c>
      <c r="D8" s="1" t="s">
        <v>43</v>
      </c>
      <c r="E8" s="1">
        <v>2</v>
      </c>
      <c r="F8" s="2">
        <v>45194</v>
      </c>
      <c r="G8" s="1">
        <v>18864</v>
      </c>
      <c r="H8" s="1">
        <v>37728</v>
      </c>
      <c r="I8" s="1">
        <v>5884.3608789154296</v>
      </c>
    </row>
    <row r="9" spans="1:9">
      <c r="A9" s="1">
        <v>1008</v>
      </c>
      <c r="B9" s="1">
        <v>111</v>
      </c>
      <c r="C9" s="1" t="s">
        <v>41</v>
      </c>
      <c r="D9" s="1" t="s">
        <v>38</v>
      </c>
      <c r="E9" s="1">
        <v>3</v>
      </c>
      <c r="F9" s="2">
        <v>44980</v>
      </c>
      <c r="G9" s="1">
        <v>14664</v>
      </c>
      <c r="H9" s="1">
        <v>43992</v>
      </c>
      <c r="I9" s="1">
        <v>8422.0932735180795</v>
      </c>
    </row>
    <row r="10" spans="1:9">
      <c r="A10" s="1">
        <v>1009</v>
      </c>
      <c r="B10" s="1">
        <v>111</v>
      </c>
      <c r="C10" s="1" t="s">
        <v>44</v>
      </c>
      <c r="D10" s="1" t="s">
        <v>42</v>
      </c>
      <c r="E10" s="1">
        <v>9</v>
      </c>
      <c r="F10" s="2">
        <v>45162</v>
      </c>
      <c r="G10" s="1">
        <v>14664</v>
      </c>
      <c r="H10" s="1">
        <v>131976</v>
      </c>
      <c r="I10" s="1">
        <v>26864.493496483999</v>
      </c>
    </row>
    <row r="11" spans="1:9">
      <c r="A11" s="1">
        <v>1010</v>
      </c>
      <c r="B11" s="1">
        <v>104</v>
      </c>
      <c r="C11" s="1" t="s">
        <v>44</v>
      </c>
      <c r="D11" s="1" t="s">
        <v>40</v>
      </c>
      <c r="E11" s="1">
        <v>7</v>
      </c>
      <c r="F11" s="2">
        <v>45315</v>
      </c>
      <c r="G11" s="1">
        <v>42430</v>
      </c>
      <c r="H11" s="1">
        <v>297010</v>
      </c>
      <c r="I11" s="1">
        <v>20035.711247985899</v>
      </c>
    </row>
    <row r="12" spans="1:9">
      <c r="A12" s="1">
        <v>1011</v>
      </c>
      <c r="B12" s="1">
        <v>108</v>
      </c>
      <c r="C12" s="1" t="s">
        <v>41</v>
      </c>
      <c r="D12" s="1" t="s">
        <v>42</v>
      </c>
      <c r="E12" s="1">
        <v>4</v>
      </c>
      <c r="F12" s="2">
        <v>45327</v>
      </c>
      <c r="G12" s="1">
        <v>30446</v>
      </c>
      <c r="H12" s="1">
        <v>121784</v>
      </c>
      <c r="I12" s="1">
        <v>18416.272844253301</v>
      </c>
    </row>
    <row r="13" spans="1:9">
      <c r="A13" s="1">
        <v>1012</v>
      </c>
      <c r="B13" s="1">
        <v>103</v>
      </c>
      <c r="C13" s="1" t="s">
        <v>41</v>
      </c>
      <c r="D13" s="1" t="s">
        <v>38</v>
      </c>
      <c r="E13" s="1">
        <v>5</v>
      </c>
      <c r="F13" s="2">
        <v>45550</v>
      </c>
      <c r="G13" s="1">
        <v>21175</v>
      </c>
      <c r="H13" s="1">
        <v>105875</v>
      </c>
      <c r="I13" s="1">
        <v>25029.1536972906</v>
      </c>
    </row>
    <row r="14" spans="1:9">
      <c r="A14" s="1">
        <v>1013</v>
      </c>
      <c r="B14" s="1">
        <v>102</v>
      </c>
      <c r="C14" s="1" t="s">
        <v>37</v>
      </c>
      <c r="D14" s="1" t="s">
        <v>39</v>
      </c>
      <c r="E14" s="1">
        <v>2</v>
      </c>
      <c r="F14" s="2">
        <v>45229</v>
      </c>
      <c r="G14" s="1">
        <v>20365</v>
      </c>
      <c r="H14" s="1">
        <v>40730</v>
      </c>
      <c r="I14" s="1">
        <v>4648.4512973314004</v>
      </c>
    </row>
    <row r="15" spans="1:9">
      <c r="A15" s="1">
        <v>1014</v>
      </c>
      <c r="B15" s="1">
        <v>112</v>
      </c>
      <c r="C15" s="1" t="s">
        <v>35</v>
      </c>
      <c r="D15" s="1" t="s">
        <v>39</v>
      </c>
      <c r="E15" s="1">
        <v>8</v>
      </c>
      <c r="F15" s="2">
        <v>45133</v>
      </c>
      <c r="G15" s="1">
        <v>34365</v>
      </c>
      <c r="H15" s="1">
        <v>274920</v>
      </c>
      <c r="I15" s="1">
        <v>46400.068236123501</v>
      </c>
    </row>
    <row r="16" spans="1:9">
      <c r="A16" s="1">
        <v>1015</v>
      </c>
      <c r="B16" s="1">
        <v>106</v>
      </c>
      <c r="C16" s="1" t="s">
        <v>41</v>
      </c>
      <c r="D16" s="1" t="s">
        <v>45</v>
      </c>
      <c r="E16" s="1">
        <v>4</v>
      </c>
      <c r="F16" s="2">
        <v>45155</v>
      </c>
      <c r="G16" s="1">
        <v>20269</v>
      </c>
      <c r="H16" s="1">
        <v>81076</v>
      </c>
      <c r="I16" s="1">
        <v>10040.946103779301</v>
      </c>
    </row>
    <row r="17" spans="1:9">
      <c r="A17" s="1">
        <v>1016</v>
      </c>
      <c r="B17" s="1">
        <v>102</v>
      </c>
      <c r="C17" s="1" t="s">
        <v>44</v>
      </c>
      <c r="D17" s="1" t="s">
        <v>39</v>
      </c>
      <c r="E17" s="1">
        <v>9</v>
      </c>
      <c r="F17" s="2">
        <v>45504</v>
      </c>
      <c r="G17" s="1">
        <v>20365</v>
      </c>
      <c r="H17" s="1">
        <v>183285</v>
      </c>
      <c r="I17" s="1">
        <v>25816.3510576355</v>
      </c>
    </row>
    <row r="18" spans="1:9">
      <c r="A18" s="1">
        <v>1017</v>
      </c>
      <c r="B18" s="1">
        <v>101</v>
      </c>
      <c r="C18" s="1" t="s">
        <v>37</v>
      </c>
      <c r="D18" s="1" t="s">
        <v>45</v>
      </c>
      <c r="E18" s="1">
        <v>5</v>
      </c>
      <c r="F18" s="2">
        <v>45001</v>
      </c>
      <c r="G18" s="1">
        <v>36970</v>
      </c>
      <c r="H18" s="1">
        <v>184850</v>
      </c>
      <c r="I18" s="1">
        <v>29524.357270173499</v>
      </c>
    </row>
    <row r="19" spans="1:9">
      <c r="A19" s="1">
        <v>1018</v>
      </c>
      <c r="B19" s="1">
        <v>112</v>
      </c>
      <c r="C19" s="1" t="s">
        <v>41</v>
      </c>
      <c r="D19" s="1" t="s">
        <v>42</v>
      </c>
      <c r="E19" s="1">
        <v>9</v>
      </c>
      <c r="F19" s="2">
        <v>45361</v>
      </c>
      <c r="G19" s="1">
        <v>34365</v>
      </c>
      <c r="H19" s="1">
        <v>309285</v>
      </c>
      <c r="I19" s="1">
        <v>49418.916909992498</v>
      </c>
    </row>
    <row r="20" spans="1:9">
      <c r="A20" s="1">
        <v>1019</v>
      </c>
      <c r="B20" s="1">
        <v>112</v>
      </c>
      <c r="C20" s="1" t="s">
        <v>44</v>
      </c>
      <c r="D20" s="1" t="s">
        <v>46</v>
      </c>
      <c r="E20" s="1">
        <v>4</v>
      </c>
      <c r="F20" s="2">
        <v>45029</v>
      </c>
      <c r="G20" s="1">
        <v>34365</v>
      </c>
      <c r="H20" s="1">
        <v>137460</v>
      </c>
      <c r="I20" s="1">
        <v>12418.973870382801</v>
      </c>
    </row>
    <row r="21" spans="1:9">
      <c r="A21" s="1">
        <v>1020</v>
      </c>
      <c r="B21" s="1">
        <v>117</v>
      </c>
      <c r="C21" s="1" t="s">
        <v>44</v>
      </c>
      <c r="D21" s="1" t="s">
        <v>43</v>
      </c>
      <c r="E21" s="1">
        <v>5</v>
      </c>
      <c r="F21" s="2">
        <v>45348</v>
      </c>
      <c r="G21" s="1">
        <v>3922</v>
      </c>
      <c r="H21" s="1">
        <v>19610</v>
      </c>
      <c r="I21" s="1">
        <v>3665.3896107847099</v>
      </c>
    </row>
    <row r="22" spans="1:9">
      <c r="A22" s="1">
        <v>1021</v>
      </c>
      <c r="B22" s="1">
        <v>110</v>
      </c>
      <c r="C22" s="1" t="s">
        <v>35</v>
      </c>
      <c r="D22" s="1" t="s">
        <v>43</v>
      </c>
      <c r="E22" s="1">
        <v>9</v>
      </c>
      <c r="F22" s="2">
        <v>45630</v>
      </c>
      <c r="G22" s="1">
        <v>35299</v>
      </c>
      <c r="H22" s="1">
        <v>317691</v>
      </c>
      <c r="I22" s="1">
        <v>21467.531625758202</v>
      </c>
    </row>
    <row r="23" spans="1:9">
      <c r="A23" s="1">
        <v>1022</v>
      </c>
      <c r="B23" s="1">
        <v>116</v>
      </c>
      <c r="C23" s="1" t="s">
        <v>37</v>
      </c>
      <c r="D23" s="1" t="s">
        <v>42</v>
      </c>
      <c r="E23" s="1">
        <v>8</v>
      </c>
      <c r="F23" s="2">
        <v>45232</v>
      </c>
      <c r="G23" s="1">
        <v>26393</v>
      </c>
      <c r="H23" s="1">
        <v>211144</v>
      </c>
      <c r="I23" s="1">
        <v>16419.603592728399</v>
      </c>
    </row>
    <row r="24" spans="1:9">
      <c r="A24" s="1">
        <v>1023</v>
      </c>
      <c r="B24" s="1">
        <v>115</v>
      </c>
      <c r="C24" s="1" t="s">
        <v>37</v>
      </c>
      <c r="D24" s="1" t="s">
        <v>36</v>
      </c>
      <c r="E24" s="1">
        <v>3</v>
      </c>
      <c r="F24" s="2">
        <v>45024</v>
      </c>
      <c r="G24" s="1">
        <v>45111</v>
      </c>
      <c r="H24" s="1">
        <v>135333</v>
      </c>
      <c r="I24" s="1">
        <v>6840.0248300879002</v>
      </c>
    </row>
    <row r="25" spans="1:9">
      <c r="A25" s="1">
        <v>1024</v>
      </c>
      <c r="B25" s="1">
        <v>115</v>
      </c>
      <c r="C25" s="1" t="s">
        <v>35</v>
      </c>
      <c r="D25" s="1" t="s">
        <v>36</v>
      </c>
      <c r="E25" s="1">
        <v>1</v>
      </c>
      <c r="F25" s="2">
        <v>45261</v>
      </c>
      <c r="G25" s="1">
        <v>45111</v>
      </c>
      <c r="H25" s="1">
        <v>45111</v>
      </c>
      <c r="I25" s="1">
        <v>3308.40522989908</v>
      </c>
    </row>
    <row r="26" spans="1:9">
      <c r="A26" s="1">
        <v>1025</v>
      </c>
      <c r="B26" s="1">
        <v>119</v>
      </c>
      <c r="C26" s="1" t="s">
        <v>35</v>
      </c>
      <c r="D26" s="1" t="s">
        <v>39</v>
      </c>
      <c r="E26" s="1">
        <v>3</v>
      </c>
      <c r="F26" s="2">
        <v>45361</v>
      </c>
      <c r="G26" s="1">
        <v>18864</v>
      </c>
      <c r="H26" s="1">
        <v>56592</v>
      </c>
      <c r="I26" s="1">
        <v>8185.0843299857397</v>
      </c>
    </row>
    <row r="27" spans="1:9">
      <c r="A27" s="1">
        <v>1026</v>
      </c>
      <c r="B27" s="1">
        <v>112</v>
      </c>
      <c r="C27" s="1" t="s">
        <v>37</v>
      </c>
      <c r="D27" s="1" t="s">
        <v>43</v>
      </c>
      <c r="E27" s="1">
        <v>4</v>
      </c>
      <c r="F27" s="2">
        <v>45373</v>
      </c>
      <c r="G27" s="1">
        <v>34365</v>
      </c>
      <c r="H27" s="1">
        <v>137460</v>
      </c>
      <c r="I27" s="1">
        <v>23535.952913987101</v>
      </c>
    </row>
    <row r="28" spans="1:9">
      <c r="A28" s="1">
        <v>1027</v>
      </c>
      <c r="B28" s="1">
        <v>120</v>
      </c>
      <c r="C28" s="1" t="s">
        <v>37</v>
      </c>
      <c r="D28" s="1" t="s">
        <v>43</v>
      </c>
      <c r="E28" s="1">
        <v>2</v>
      </c>
      <c r="F28" s="2">
        <v>45234</v>
      </c>
      <c r="G28" s="1">
        <v>39145</v>
      </c>
      <c r="H28" s="1">
        <v>78290</v>
      </c>
      <c r="I28" s="1">
        <v>16351.4842075749</v>
      </c>
    </row>
    <row r="29" spans="1:9">
      <c r="A29" s="1">
        <v>1028</v>
      </c>
      <c r="B29" s="1">
        <v>103</v>
      </c>
      <c r="C29" s="1" t="s">
        <v>41</v>
      </c>
      <c r="D29" s="1" t="s">
        <v>45</v>
      </c>
      <c r="E29" s="1">
        <v>1</v>
      </c>
      <c r="F29" s="2">
        <v>45175</v>
      </c>
      <c r="G29" s="1">
        <v>21175</v>
      </c>
      <c r="H29" s="1">
        <v>21175</v>
      </c>
      <c r="I29" s="1">
        <v>1510.6213242304</v>
      </c>
    </row>
    <row r="30" spans="1:9">
      <c r="A30" s="1">
        <v>1029</v>
      </c>
      <c r="B30" s="1">
        <v>105</v>
      </c>
      <c r="C30" s="1" t="s">
        <v>41</v>
      </c>
      <c r="D30" s="1" t="s">
        <v>46</v>
      </c>
      <c r="E30" s="1">
        <v>7</v>
      </c>
      <c r="F30" s="2">
        <v>45092</v>
      </c>
      <c r="G30" s="1">
        <v>18639</v>
      </c>
      <c r="H30" s="1">
        <v>130473</v>
      </c>
      <c r="I30" s="1">
        <v>28723.042778145398</v>
      </c>
    </row>
    <row r="31" spans="1:9">
      <c r="A31" s="1">
        <v>1030</v>
      </c>
      <c r="B31" s="1">
        <v>119</v>
      </c>
      <c r="C31" s="1" t="s">
        <v>35</v>
      </c>
      <c r="D31" s="1" t="s">
        <v>38</v>
      </c>
      <c r="E31" s="1">
        <v>8</v>
      </c>
      <c r="F31" s="2">
        <v>45407</v>
      </c>
      <c r="G31" s="1">
        <v>18864</v>
      </c>
      <c r="H31" s="1">
        <v>150912</v>
      </c>
      <c r="I31" s="1">
        <v>30060.901519921601</v>
      </c>
    </row>
    <row r="32" spans="1:9">
      <c r="A32" s="1">
        <v>1031</v>
      </c>
      <c r="B32" s="1">
        <v>107</v>
      </c>
      <c r="C32" s="1" t="s">
        <v>41</v>
      </c>
      <c r="D32" s="1" t="s">
        <v>36</v>
      </c>
      <c r="E32" s="1">
        <v>7</v>
      </c>
      <c r="F32" s="2">
        <v>45261</v>
      </c>
      <c r="G32" s="1">
        <v>39276</v>
      </c>
      <c r="H32" s="1">
        <v>274932</v>
      </c>
      <c r="I32" s="1">
        <v>36209.550262691497</v>
      </c>
    </row>
    <row r="33" spans="1:9">
      <c r="A33" s="1">
        <v>1032</v>
      </c>
      <c r="B33" s="1">
        <v>109</v>
      </c>
      <c r="C33" s="1" t="s">
        <v>44</v>
      </c>
      <c r="D33" s="1" t="s">
        <v>43</v>
      </c>
      <c r="E33" s="1">
        <v>5</v>
      </c>
      <c r="F33" s="2">
        <v>45468</v>
      </c>
      <c r="G33" s="1">
        <v>23978</v>
      </c>
      <c r="H33" s="1">
        <v>119890</v>
      </c>
      <c r="I33" s="1">
        <v>28364.4889729227</v>
      </c>
    </row>
    <row r="34" spans="1:9">
      <c r="A34" s="1">
        <v>1033</v>
      </c>
      <c r="B34" s="1">
        <v>107</v>
      </c>
      <c r="C34" s="1" t="s">
        <v>41</v>
      </c>
      <c r="D34" s="1" t="s">
        <v>45</v>
      </c>
      <c r="E34" s="1">
        <v>1</v>
      </c>
      <c r="F34" s="2">
        <v>45032</v>
      </c>
      <c r="G34" s="1">
        <v>39276</v>
      </c>
      <c r="H34" s="1">
        <v>39276</v>
      </c>
      <c r="I34" s="1">
        <v>9747.7492234680903</v>
      </c>
    </row>
    <row r="35" spans="1:9">
      <c r="A35" s="1">
        <v>1034</v>
      </c>
      <c r="B35" s="1">
        <v>118</v>
      </c>
      <c r="C35" s="1" t="s">
        <v>41</v>
      </c>
      <c r="D35" s="1" t="s">
        <v>40</v>
      </c>
      <c r="E35" s="1">
        <v>7</v>
      </c>
      <c r="F35" s="2">
        <v>45489</v>
      </c>
      <c r="G35" s="1">
        <v>23357</v>
      </c>
      <c r="H35" s="1">
        <v>163499</v>
      </c>
      <c r="I35" s="1">
        <v>14878.4681883789</v>
      </c>
    </row>
    <row r="36" spans="1:9">
      <c r="A36" s="1">
        <v>1035</v>
      </c>
      <c r="B36" s="1">
        <v>104</v>
      </c>
      <c r="C36" s="1" t="s">
        <v>44</v>
      </c>
      <c r="D36" s="1" t="s">
        <v>45</v>
      </c>
      <c r="E36" s="1">
        <v>7</v>
      </c>
      <c r="F36" s="2">
        <v>45007</v>
      </c>
      <c r="G36" s="1">
        <v>42430</v>
      </c>
      <c r="H36" s="1">
        <v>297010</v>
      </c>
      <c r="I36" s="1">
        <v>37377.436404019703</v>
      </c>
    </row>
    <row r="37" spans="1:9">
      <c r="A37" s="1">
        <v>1036</v>
      </c>
      <c r="B37" s="1">
        <v>114</v>
      </c>
      <c r="C37" s="1" t="s">
        <v>35</v>
      </c>
      <c r="D37" s="1" t="s">
        <v>36</v>
      </c>
      <c r="E37" s="1">
        <v>9</v>
      </c>
      <c r="F37" s="2">
        <v>45059</v>
      </c>
      <c r="G37" s="1">
        <v>4485</v>
      </c>
      <c r="H37" s="1">
        <v>40365</v>
      </c>
      <c r="I37" s="1">
        <v>9497.47619663974</v>
      </c>
    </row>
    <row r="38" spans="1:9">
      <c r="A38" s="1">
        <v>1037</v>
      </c>
      <c r="B38" s="1">
        <v>118</v>
      </c>
      <c r="C38" s="1" t="s">
        <v>44</v>
      </c>
      <c r="D38" s="1" t="s">
        <v>36</v>
      </c>
      <c r="E38" s="1">
        <v>3</v>
      </c>
      <c r="F38" s="2">
        <v>45064</v>
      </c>
      <c r="G38" s="1">
        <v>23357</v>
      </c>
      <c r="H38" s="1">
        <v>70071</v>
      </c>
      <c r="I38" s="1">
        <v>13616.1483815386</v>
      </c>
    </row>
    <row r="39" spans="1:9">
      <c r="A39" s="1">
        <v>1038</v>
      </c>
      <c r="B39" s="1">
        <v>109</v>
      </c>
      <c r="C39" s="1" t="s">
        <v>41</v>
      </c>
      <c r="D39" s="1" t="s">
        <v>45</v>
      </c>
      <c r="E39" s="1">
        <v>9</v>
      </c>
      <c r="F39" s="2">
        <v>45110</v>
      </c>
      <c r="G39" s="1">
        <v>23978</v>
      </c>
      <c r="H39" s="1">
        <v>215802</v>
      </c>
      <c r="I39" s="1">
        <v>12865.8840713476</v>
      </c>
    </row>
    <row r="40" spans="1:9">
      <c r="A40" s="1">
        <v>1039</v>
      </c>
      <c r="B40" s="1">
        <v>102</v>
      </c>
      <c r="C40" s="1" t="s">
        <v>35</v>
      </c>
      <c r="D40" s="1" t="s">
        <v>38</v>
      </c>
      <c r="E40" s="1">
        <v>1</v>
      </c>
      <c r="F40" s="2">
        <v>45327</v>
      </c>
      <c r="G40" s="1">
        <v>20365</v>
      </c>
      <c r="H40" s="1">
        <v>20365</v>
      </c>
      <c r="I40" s="1">
        <v>4201.3584841735101</v>
      </c>
    </row>
    <row r="41" spans="1:9">
      <c r="A41" s="1">
        <v>1040</v>
      </c>
      <c r="B41" s="1">
        <v>120</v>
      </c>
      <c r="C41" s="1" t="s">
        <v>41</v>
      </c>
      <c r="D41" s="1" t="s">
        <v>42</v>
      </c>
      <c r="E41" s="1">
        <v>1</v>
      </c>
      <c r="F41" s="2">
        <v>45256</v>
      </c>
      <c r="G41" s="1">
        <v>39145</v>
      </c>
      <c r="H41" s="1">
        <v>39145</v>
      </c>
      <c r="I41" s="1">
        <v>8439.1992057125808</v>
      </c>
    </row>
    <row r="42" spans="1:9">
      <c r="A42" s="1">
        <v>1041</v>
      </c>
      <c r="B42" s="1">
        <v>115</v>
      </c>
      <c r="C42" s="1" t="s">
        <v>44</v>
      </c>
      <c r="D42" s="1" t="s">
        <v>36</v>
      </c>
      <c r="E42" s="1">
        <v>4</v>
      </c>
      <c r="F42" s="2">
        <v>45434</v>
      </c>
      <c r="G42" s="1">
        <v>45111</v>
      </c>
      <c r="H42" s="1">
        <v>180444</v>
      </c>
      <c r="I42" s="1">
        <v>36106.913862470501</v>
      </c>
    </row>
    <row r="43" spans="1:9">
      <c r="A43" s="1">
        <v>1042</v>
      </c>
      <c r="B43" s="1">
        <v>107</v>
      </c>
      <c r="C43" s="1" t="s">
        <v>44</v>
      </c>
      <c r="D43" s="1" t="s">
        <v>45</v>
      </c>
      <c r="E43" s="1">
        <v>9</v>
      </c>
      <c r="F43" s="2">
        <v>44995</v>
      </c>
      <c r="G43" s="1">
        <v>39276</v>
      </c>
      <c r="H43" s="1">
        <v>353484</v>
      </c>
      <c r="I43" s="1">
        <v>74198.916637190807</v>
      </c>
    </row>
    <row r="44" spans="1:9">
      <c r="A44" s="1">
        <v>1043</v>
      </c>
      <c r="B44" s="1">
        <v>112</v>
      </c>
      <c r="C44" s="1" t="s">
        <v>41</v>
      </c>
      <c r="D44" s="1" t="s">
        <v>43</v>
      </c>
      <c r="E44" s="1">
        <v>6</v>
      </c>
      <c r="F44" s="2">
        <v>45472</v>
      </c>
      <c r="G44" s="1">
        <v>34365</v>
      </c>
      <c r="H44" s="1">
        <v>206190</v>
      </c>
      <c r="I44" s="1">
        <v>44336.321321457603</v>
      </c>
    </row>
    <row r="45" spans="1:9">
      <c r="A45" s="1">
        <v>1044</v>
      </c>
      <c r="B45" s="1">
        <v>108</v>
      </c>
      <c r="C45" s="1" t="s">
        <v>37</v>
      </c>
      <c r="D45" s="1" t="s">
        <v>45</v>
      </c>
      <c r="E45" s="1">
        <v>3</v>
      </c>
      <c r="F45" s="2">
        <v>44979</v>
      </c>
      <c r="G45" s="1">
        <v>30446</v>
      </c>
      <c r="H45" s="1">
        <v>91338</v>
      </c>
      <c r="I45" s="1">
        <v>7972.0717366510999</v>
      </c>
    </row>
    <row r="46" spans="1:9">
      <c r="A46" s="1">
        <v>1045</v>
      </c>
      <c r="B46" s="1">
        <v>115</v>
      </c>
      <c r="C46" s="1" t="s">
        <v>37</v>
      </c>
      <c r="D46" s="1" t="s">
        <v>46</v>
      </c>
      <c r="E46" s="1">
        <v>1</v>
      </c>
      <c r="F46" s="2">
        <v>45376</v>
      </c>
      <c r="G46" s="1">
        <v>45111</v>
      </c>
      <c r="H46" s="1">
        <v>45111</v>
      </c>
      <c r="I46" s="1">
        <v>4382.00807134764</v>
      </c>
    </row>
    <row r="47" spans="1:9">
      <c r="A47" s="1">
        <v>1046</v>
      </c>
      <c r="B47" s="1">
        <v>103</v>
      </c>
      <c r="C47" s="1" t="s">
        <v>44</v>
      </c>
      <c r="D47" s="1" t="s">
        <v>42</v>
      </c>
      <c r="E47" s="1">
        <v>4</v>
      </c>
      <c r="F47" s="2">
        <v>45131</v>
      </c>
      <c r="G47" s="1">
        <v>21175</v>
      </c>
      <c r="H47" s="1">
        <v>84700</v>
      </c>
      <c r="I47" s="1">
        <v>14970.8700694198</v>
      </c>
    </row>
    <row r="48" spans="1:9">
      <c r="A48" s="1">
        <v>1047</v>
      </c>
      <c r="B48" s="1">
        <v>114</v>
      </c>
      <c r="C48" s="1" t="s">
        <v>44</v>
      </c>
      <c r="D48" s="1" t="s">
        <v>40</v>
      </c>
      <c r="E48" s="1">
        <v>9</v>
      </c>
      <c r="F48" s="2">
        <v>45052</v>
      </c>
      <c r="G48" s="1">
        <v>4485</v>
      </c>
      <c r="H48" s="1">
        <v>40365</v>
      </c>
      <c r="I48" s="1">
        <v>9347.4532712238906</v>
      </c>
    </row>
    <row r="49" spans="1:9">
      <c r="A49" s="1">
        <v>1048</v>
      </c>
      <c r="B49" s="1">
        <v>117</v>
      </c>
      <c r="C49" s="1" t="s">
        <v>37</v>
      </c>
      <c r="D49" s="1" t="s">
        <v>38</v>
      </c>
      <c r="E49" s="1">
        <v>3</v>
      </c>
      <c r="F49" s="2">
        <v>44969</v>
      </c>
      <c r="G49" s="1">
        <v>3922</v>
      </c>
      <c r="H49" s="1">
        <v>11766</v>
      </c>
      <c r="I49" s="1">
        <v>1332.3737974601099</v>
      </c>
    </row>
    <row r="50" spans="1:9">
      <c r="A50" s="1">
        <v>1049</v>
      </c>
      <c r="B50" s="1">
        <v>104</v>
      </c>
      <c r="C50" s="1" t="s">
        <v>37</v>
      </c>
      <c r="D50" s="1" t="s">
        <v>39</v>
      </c>
      <c r="E50" s="1">
        <v>9</v>
      </c>
      <c r="F50" s="2">
        <v>45037</v>
      </c>
      <c r="G50" s="1">
        <v>42430</v>
      </c>
      <c r="H50" s="1">
        <v>381870</v>
      </c>
      <c r="I50" s="1">
        <v>64024.834057171603</v>
      </c>
    </row>
    <row r="51" spans="1:9">
      <c r="A51" s="1">
        <v>1050</v>
      </c>
      <c r="B51" s="1">
        <v>118</v>
      </c>
      <c r="C51" s="1" t="s">
        <v>41</v>
      </c>
      <c r="D51" s="1" t="s">
        <v>40</v>
      </c>
      <c r="E51" s="1">
        <v>7</v>
      </c>
      <c r="F51" s="2">
        <v>45589</v>
      </c>
      <c r="G51" s="1">
        <v>23357</v>
      </c>
      <c r="H51" s="1">
        <v>163499</v>
      </c>
      <c r="I51" s="1">
        <v>30508.326877327501</v>
      </c>
    </row>
    <row r="52" spans="1:9">
      <c r="A52" s="1">
        <v>1051</v>
      </c>
      <c r="B52" s="1">
        <v>108</v>
      </c>
      <c r="C52" s="1" t="s">
        <v>41</v>
      </c>
      <c r="D52" s="1" t="s">
        <v>42</v>
      </c>
      <c r="E52" s="1">
        <v>4</v>
      </c>
      <c r="F52" s="2">
        <v>45109</v>
      </c>
      <c r="G52" s="1">
        <v>30446</v>
      </c>
      <c r="H52" s="1">
        <v>121784</v>
      </c>
      <c r="I52" s="1">
        <v>17097.221692120402</v>
      </c>
    </row>
    <row r="53" spans="1:9">
      <c r="A53" s="1">
        <v>1052</v>
      </c>
      <c r="B53" s="1">
        <v>104</v>
      </c>
      <c r="C53" s="1" t="s">
        <v>37</v>
      </c>
      <c r="D53" s="1" t="s">
        <v>42</v>
      </c>
      <c r="E53" s="1">
        <v>3</v>
      </c>
      <c r="F53" s="2">
        <v>45021</v>
      </c>
      <c r="G53" s="1">
        <v>42430</v>
      </c>
      <c r="H53" s="1">
        <v>127290</v>
      </c>
      <c r="I53" s="1">
        <v>24535.973735706899</v>
      </c>
    </row>
    <row r="54" spans="1:9">
      <c r="A54" s="1">
        <v>1053</v>
      </c>
      <c r="B54" s="1">
        <v>102</v>
      </c>
      <c r="C54" s="1" t="s">
        <v>41</v>
      </c>
      <c r="D54" s="1" t="s">
        <v>42</v>
      </c>
      <c r="E54" s="1">
        <v>5</v>
      </c>
      <c r="F54" s="2">
        <v>45300</v>
      </c>
      <c r="G54" s="1">
        <v>20365</v>
      </c>
      <c r="H54" s="1">
        <v>101825</v>
      </c>
      <c r="I54" s="1">
        <v>23412.977523375099</v>
      </c>
    </row>
    <row r="55" spans="1:9">
      <c r="A55" s="1">
        <v>1054</v>
      </c>
      <c r="B55" s="1">
        <v>106</v>
      </c>
      <c r="C55" s="1" t="s">
        <v>41</v>
      </c>
      <c r="D55" s="1" t="s">
        <v>40</v>
      </c>
      <c r="E55" s="1">
        <v>5</v>
      </c>
      <c r="F55" s="2">
        <v>45446</v>
      </c>
      <c r="G55" s="1">
        <v>20269</v>
      </c>
      <c r="H55" s="1">
        <v>101345</v>
      </c>
      <c r="I55" s="1">
        <v>17717.164199021699</v>
      </c>
    </row>
    <row r="56" spans="1:9">
      <c r="A56" s="1">
        <v>1055</v>
      </c>
      <c r="B56" s="1">
        <v>110</v>
      </c>
      <c r="C56" s="1" t="s">
        <v>35</v>
      </c>
      <c r="D56" s="1" t="s">
        <v>43</v>
      </c>
      <c r="E56" s="1">
        <v>3</v>
      </c>
      <c r="F56" s="2">
        <v>45286</v>
      </c>
      <c r="G56" s="1">
        <v>35299</v>
      </c>
      <c r="H56" s="1">
        <v>105897</v>
      </c>
      <c r="I56" s="1">
        <v>16727.089022714801</v>
      </c>
    </row>
    <row r="57" spans="1:9">
      <c r="A57" s="1">
        <v>1056</v>
      </c>
      <c r="B57" s="1">
        <v>104</v>
      </c>
      <c r="C57" s="1" t="s">
        <v>41</v>
      </c>
      <c r="D57" s="1" t="s">
        <v>42</v>
      </c>
      <c r="E57" s="1">
        <v>9</v>
      </c>
      <c r="F57" s="2">
        <v>45622</v>
      </c>
      <c r="G57" s="1">
        <v>42430</v>
      </c>
      <c r="H57" s="1">
        <v>381870</v>
      </c>
      <c r="I57" s="1">
        <v>52602.185838108999</v>
      </c>
    </row>
    <row r="58" spans="1:9">
      <c r="A58" s="1">
        <v>1057</v>
      </c>
      <c r="B58" s="1">
        <v>118</v>
      </c>
      <c r="C58" s="1" t="s">
        <v>44</v>
      </c>
      <c r="D58" s="1" t="s">
        <v>45</v>
      </c>
      <c r="E58" s="1">
        <v>4</v>
      </c>
      <c r="F58" s="2">
        <v>45207</v>
      </c>
      <c r="G58" s="1">
        <v>23357</v>
      </c>
      <c r="H58" s="1">
        <v>93428</v>
      </c>
      <c r="I58" s="1">
        <v>15462.0774636435</v>
      </c>
    </row>
    <row r="59" spans="1:9">
      <c r="A59" s="1">
        <v>1058</v>
      </c>
      <c r="B59" s="1">
        <v>112</v>
      </c>
      <c r="C59" s="1" t="s">
        <v>41</v>
      </c>
      <c r="D59" s="1" t="s">
        <v>40</v>
      </c>
      <c r="E59" s="1">
        <v>5</v>
      </c>
      <c r="F59" s="2">
        <v>45121</v>
      </c>
      <c r="G59" s="1">
        <v>34365</v>
      </c>
      <c r="H59" s="1">
        <v>171825</v>
      </c>
      <c r="I59" s="1">
        <v>20803.2806567392</v>
      </c>
    </row>
    <row r="60" spans="1:9">
      <c r="A60" s="1">
        <v>1059</v>
      </c>
      <c r="B60" s="1">
        <v>102</v>
      </c>
      <c r="C60" s="1" t="s">
        <v>41</v>
      </c>
      <c r="D60" s="1" t="s">
        <v>39</v>
      </c>
      <c r="E60" s="1">
        <v>4</v>
      </c>
      <c r="F60" s="2">
        <v>45121</v>
      </c>
      <c r="G60" s="1">
        <v>20365</v>
      </c>
      <c r="H60" s="1">
        <v>81460</v>
      </c>
      <c r="I60" s="1">
        <v>10451.026539402899</v>
      </c>
    </row>
    <row r="61" spans="1:9">
      <c r="A61" s="1">
        <v>1060</v>
      </c>
      <c r="B61" s="1">
        <v>110</v>
      </c>
      <c r="C61" s="1" t="s">
        <v>37</v>
      </c>
      <c r="D61" s="1" t="s">
        <v>42</v>
      </c>
      <c r="E61" s="1">
        <v>5</v>
      </c>
      <c r="F61" s="2">
        <v>45593</v>
      </c>
      <c r="G61" s="1">
        <v>35299</v>
      </c>
      <c r="H61" s="1">
        <v>176495</v>
      </c>
      <c r="I61" s="1">
        <v>27598.787175512902</v>
      </c>
    </row>
    <row r="62" spans="1:9">
      <c r="A62" s="1">
        <v>1061</v>
      </c>
      <c r="B62" s="1">
        <v>104</v>
      </c>
      <c r="C62" s="1" t="s">
        <v>44</v>
      </c>
      <c r="D62" s="1" t="s">
        <v>45</v>
      </c>
      <c r="E62" s="1">
        <v>7</v>
      </c>
      <c r="F62" s="2">
        <v>45019</v>
      </c>
      <c r="G62" s="1">
        <v>42430</v>
      </c>
      <c r="H62" s="1">
        <v>297010</v>
      </c>
      <c r="I62" s="1">
        <v>18807.808514239299</v>
      </c>
    </row>
    <row r="63" spans="1:9">
      <c r="A63" s="1">
        <v>1062</v>
      </c>
      <c r="B63" s="1">
        <v>114</v>
      </c>
      <c r="C63" s="1" t="s">
        <v>41</v>
      </c>
      <c r="D63" s="1" t="s">
        <v>43</v>
      </c>
      <c r="E63" s="1">
        <v>9</v>
      </c>
      <c r="F63" s="2">
        <v>45598</v>
      </c>
      <c r="G63" s="1">
        <v>4485</v>
      </c>
      <c r="H63" s="1">
        <v>40365</v>
      </c>
      <c r="I63" s="1">
        <v>3867.1719809358801</v>
      </c>
    </row>
    <row r="64" spans="1:9">
      <c r="A64" s="1">
        <v>1063</v>
      </c>
      <c r="B64" s="1">
        <v>116</v>
      </c>
      <c r="C64" s="1" t="s">
        <v>41</v>
      </c>
      <c r="D64" s="1" t="s">
        <v>46</v>
      </c>
      <c r="E64" s="1">
        <v>7</v>
      </c>
      <c r="F64" s="2">
        <v>44987</v>
      </c>
      <c r="G64" s="1">
        <v>26393</v>
      </c>
      <c r="H64" s="1">
        <v>184751</v>
      </c>
      <c r="I64" s="1">
        <v>29295.940597027598</v>
      </c>
    </row>
    <row r="65" spans="1:9">
      <c r="A65" s="1">
        <v>1064</v>
      </c>
      <c r="B65" s="1">
        <v>115</v>
      </c>
      <c r="C65" s="1" t="s">
        <v>35</v>
      </c>
      <c r="D65" s="1" t="s">
        <v>43</v>
      </c>
      <c r="E65" s="1">
        <v>5</v>
      </c>
      <c r="F65" s="2">
        <v>45560</v>
      </c>
      <c r="G65" s="1">
        <v>45111</v>
      </c>
      <c r="H65" s="1">
        <v>225555</v>
      </c>
      <c r="I65" s="1">
        <v>30744.416065028101</v>
      </c>
    </row>
    <row r="66" spans="1:9">
      <c r="A66" s="1">
        <v>1065</v>
      </c>
      <c r="B66" s="1">
        <v>108</v>
      </c>
      <c r="C66" s="1" t="s">
        <v>41</v>
      </c>
      <c r="D66" s="1" t="s">
        <v>39</v>
      </c>
      <c r="E66" s="1">
        <v>7</v>
      </c>
      <c r="F66" s="2">
        <v>44977</v>
      </c>
      <c r="G66" s="1">
        <v>30446</v>
      </c>
      <c r="H66" s="1">
        <v>213122</v>
      </c>
      <c r="I66" s="1">
        <v>24842.173185048101</v>
      </c>
    </row>
    <row r="67" spans="1:9">
      <c r="A67" s="1">
        <v>1066</v>
      </c>
      <c r="B67" s="1">
        <v>114</v>
      </c>
      <c r="C67" s="1" t="s">
        <v>41</v>
      </c>
      <c r="D67" s="1" t="s">
        <v>42</v>
      </c>
      <c r="E67" s="1">
        <v>5</v>
      </c>
      <c r="F67" s="2">
        <v>45329</v>
      </c>
      <c r="G67" s="1">
        <v>4485</v>
      </c>
      <c r="H67" s="1">
        <v>22425</v>
      </c>
      <c r="I67" s="1">
        <v>4397.7628785897195</v>
      </c>
    </row>
    <row r="68" spans="1:9">
      <c r="A68" s="1">
        <v>1067</v>
      </c>
      <c r="B68" s="1">
        <v>108</v>
      </c>
      <c r="C68" s="1" t="s">
        <v>35</v>
      </c>
      <c r="D68" s="1" t="s">
        <v>39</v>
      </c>
      <c r="E68" s="1">
        <v>3</v>
      </c>
      <c r="F68" s="2">
        <v>44931</v>
      </c>
      <c r="G68" s="1">
        <v>30446</v>
      </c>
      <c r="H68" s="1">
        <v>91338</v>
      </c>
      <c r="I68" s="1">
        <v>17239.455765001199</v>
      </c>
    </row>
    <row r="69" spans="1:9">
      <c r="A69" s="1">
        <v>1068</v>
      </c>
      <c r="B69" s="1">
        <v>116</v>
      </c>
      <c r="C69" s="1" t="s">
        <v>37</v>
      </c>
      <c r="D69" s="1" t="s">
        <v>40</v>
      </c>
      <c r="E69" s="1">
        <v>7</v>
      </c>
      <c r="F69" s="2">
        <v>45392</v>
      </c>
      <c r="G69" s="1">
        <v>26393</v>
      </c>
      <c r="H69" s="1">
        <v>184751</v>
      </c>
      <c r="I69" s="1">
        <v>15398.2849279075</v>
      </c>
    </row>
    <row r="70" spans="1:9">
      <c r="A70" s="1">
        <v>1069</v>
      </c>
      <c r="B70" s="1">
        <v>113</v>
      </c>
      <c r="C70" s="1" t="s">
        <v>41</v>
      </c>
      <c r="D70" s="1" t="s">
        <v>36</v>
      </c>
      <c r="E70" s="1">
        <v>2</v>
      </c>
      <c r="F70" s="2">
        <v>45530</v>
      </c>
      <c r="G70" s="1">
        <v>4587</v>
      </c>
      <c r="H70" s="1">
        <v>9174</v>
      </c>
      <c r="I70" s="1">
        <v>2070.8087008871798</v>
      </c>
    </row>
    <row r="71" spans="1:9">
      <c r="A71" s="1">
        <v>1070</v>
      </c>
      <c r="B71" s="1">
        <v>118</v>
      </c>
      <c r="C71" s="1" t="s">
        <v>35</v>
      </c>
      <c r="D71" s="1" t="s">
        <v>42</v>
      </c>
      <c r="E71" s="1">
        <v>9</v>
      </c>
      <c r="F71" s="2">
        <v>45608</v>
      </c>
      <c r="G71" s="1">
        <v>23357</v>
      </c>
      <c r="H71" s="1">
        <v>210213</v>
      </c>
      <c r="I71" s="1">
        <v>31339.547355451399</v>
      </c>
    </row>
    <row r="72" spans="1:9">
      <c r="A72" s="1">
        <v>1071</v>
      </c>
      <c r="B72" s="1">
        <v>115</v>
      </c>
      <c r="C72" s="1" t="s">
        <v>44</v>
      </c>
      <c r="D72" s="1" t="s">
        <v>36</v>
      </c>
      <c r="E72" s="1">
        <v>1</v>
      </c>
      <c r="F72" s="2">
        <v>45460</v>
      </c>
      <c r="G72" s="1">
        <v>45111</v>
      </c>
      <c r="H72" s="1">
        <v>45111</v>
      </c>
      <c r="I72" s="1">
        <v>8945.1586324786895</v>
      </c>
    </row>
    <row r="73" spans="1:9">
      <c r="A73" s="1">
        <v>1072</v>
      </c>
      <c r="B73" s="1">
        <v>113</v>
      </c>
      <c r="C73" s="1" t="s">
        <v>37</v>
      </c>
      <c r="D73" s="1" t="s">
        <v>45</v>
      </c>
      <c r="E73" s="1">
        <v>6</v>
      </c>
      <c r="F73" s="2">
        <v>45331</v>
      </c>
      <c r="G73" s="1">
        <v>4587</v>
      </c>
      <c r="H73" s="1">
        <v>27522</v>
      </c>
      <c r="I73" s="1">
        <v>4530.9515346523704</v>
      </c>
    </row>
    <row r="74" spans="1:9">
      <c r="A74" s="1">
        <v>1073</v>
      </c>
      <c r="B74" s="1">
        <v>109</v>
      </c>
      <c r="C74" s="1" t="s">
        <v>44</v>
      </c>
      <c r="D74" s="1" t="s">
        <v>46</v>
      </c>
      <c r="E74" s="1">
        <v>7</v>
      </c>
      <c r="F74" s="2">
        <v>45439</v>
      </c>
      <c r="G74" s="1">
        <v>23978</v>
      </c>
      <c r="H74" s="1">
        <v>167846</v>
      </c>
      <c r="I74" s="1">
        <v>41884.042962470703</v>
      </c>
    </row>
    <row r="75" spans="1:9">
      <c r="A75" s="1">
        <v>1074</v>
      </c>
      <c r="B75" s="1">
        <v>115</v>
      </c>
      <c r="C75" s="1" t="s">
        <v>44</v>
      </c>
      <c r="D75" s="1" t="s">
        <v>38</v>
      </c>
      <c r="E75" s="1">
        <v>8</v>
      </c>
      <c r="F75" s="2">
        <v>45571</v>
      </c>
      <c r="G75" s="1">
        <v>45111</v>
      </c>
      <c r="H75" s="1">
        <v>360888</v>
      </c>
      <c r="I75" s="1">
        <v>72351.051436914102</v>
      </c>
    </row>
    <row r="76" spans="1:9">
      <c r="A76" s="1">
        <v>1075</v>
      </c>
      <c r="B76" s="1">
        <v>113</v>
      </c>
      <c r="C76" s="1" t="s">
        <v>35</v>
      </c>
      <c r="D76" s="1" t="s">
        <v>39</v>
      </c>
      <c r="E76" s="1">
        <v>9</v>
      </c>
      <c r="F76" s="2">
        <v>45159</v>
      </c>
      <c r="G76" s="1">
        <v>4587</v>
      </c>
      <c r="H76" s="1">
        <v>41283</v>
      </c>
      <c r="I76" s="1">
        <v>7901.4048763027404</v>
      </c>
    </row>
    <row r="77" spans="1:9">
      <c r="A77" s="1">
        <v>1076</v>
      </c>
      <c r="B77" s="1">
        <v>101</v>
      </c>
      <c r="C77" s="1" t="s">
        <v>41</v>
      </c>
      <c r="D77" s="1" t="s">
        <v>43</v>
      </c>
      <c r="E77" s="1">
        <v>2</v>
      </c>
      <c r="F77" s="2">
        <v>45450</v>
      </c>
      <c r="G77" s="1">
        <v>36970</v>
      </c>
      <c r="H77" s="1">
        <v>73940</v>
      </c>
      <c r="I77" s="1">
        <v>15210.5218346825</v>
      </c>
    </row>
    <row r="78" spans="1:9">
      <c r="A78" s="1">
        <v>1077</v>
      </c>
      <c r="B78" s="1">
        <v>107</v>
      </c>
      <c r="C78" s="1" t="s">
        <v>35</v>
      </c>
      <c r="D78" s="1" t="s">
        <v>46</v>
      </c>
      <c r="E78" s="1">
        <v>2</v>
      </c>
      <c r="F78" s="2">
        <v>45272</v>
      </c>
      <c r="G78" s="1">
        <v>39276</v>
      </c>
      <c r="H78" s="1">
        <v>78552</v>
      </c>
      <c r="I78" s="1">
        <v>6176.1979041606801</v>
      </c>
    </row>
    <row r="79" spans="1:9">
      <c r="A79" s="1">
        <v>1078</v>
      </c>
      <c r="B79" s="1">
        <v>109</v>
      </c>
      <c r="C79" s="1" t="s">
        <v>35</v>
      </c>
      <c r="D79" s="1" t="s">
        <v>42</v>
      </c>
      <c r="E79" s="1">
        <v>5</v>
      </c>
      <c r="F79" s="2">
        <v>44972</v>
      </c>
      <c r="G79" s="1">
        <v>23978</v>
      </c>
      <c r="H79" s="1">
        <v>119890</v>
      </c>
      <c r="I79" s="1">
        <v>10899.070255017399</v>
      </c>
    </row>
    <row r="80" spans="1:9">
      <c r="A80" s="1">
        <v>1079</v>
      </c>
      <c r="B80" s="1">
        <v>101</v>
      </c>
      <c r="C80" s="1" t="s">
        <v>35</v>
      </c>
      <c r="D80" s="1" t="s">
        <v>36</v>
      </c>
      <c r="E80" s="1">
        <v>5</v>
      </c>
      <c r="F80" s="2">
        <v>45472</v>
      </c>
      <c r="G80" s="1">
        <v>36970</v>
      </c>
      <c r="H80" s="1">
        <v>184850</v>
      </c>
      <c r="I80" s="1">
        <v>35641.449119807003</v>
      </c>
    </row>
    <row r="81" spans="1:9">
      <c r="A81" s="1">
        <v>1080</v>
      </c>
      <c r="B81" s="1">
        <v>112</v>
      </c>
      <c r="C81" s="1" t="s">
        <v>35</v>
      </c>
      <c r="D81" s="1" t="s">
        <v>43</v>
      </c>
      <c r="E81" s="1">
        <v>6</v>
      </c>
      <c r="F81" s="2">
        <v>45004</v>
      </c>
      <c r="G81" s="1">
        <v>34365</v>
      </c>
      <c r="H81" s="1">
        <v>206190</v>
      </c>
      <c r="I81" s="1">
        <v>30680.308566302501</v>
      </c>
    </row>
    <row r="82" spans="1:9">
      <c r="A82" s="1">
        <v>1081</v>
      </c>
      <c r="B82" s="1">
        <v>108</v>
      </c>
      <c r="C82" s="1" t="s">
        <v>37</v>
      </c>
      <c r="D82" s="1" t="s">
        <v>36</v>
      </c>
      <c r="E82" s="1">
        <v>3</v>
      </c>
      <c r="F82" s="2">
        <v>45656</v>
      </c>
      <c r="G82" s="1">
        <v>30446</v>
      </c>
      <c r="H82" s="1">
        <v>91338</v>
      </c>
      <c r="I82" s="1">
        <v>18352.275657583901</v>
      </c>
    </row>
    <row r="83" spans="1:9">
      <c r="A83" s="1">
        <v>1082</v>
      </c>
      <c r="B83" s="1">
        <v>111</v>
      </c>
      <c r="C83" s="1" t="s">
        <v>41</v>
      </c>
      <c r="D83" s="1" t="s">
        <v>40</v>
      </c>
      <c r="E83" s="1">
        <v>8</v>
      </c>
      <c r="F83" s="2">
        <v>44999</v>
      </c>
      <c r="G83" s="1">
        <v>14664</v>
      </c>
      <c r="H83" s="1">
        <v>117312</v>
      </c>
      <c r="I83" s="1">
        <v>8280.2570797314293</v>
      </c>
    </row>
    <row r="84" spans="1:9">
      <c r="A84" s="1">
        <v>1083</v>
      </c>
      <c r="B84" s="1">
        <v>119</v>
      </c>
      <c r="C84" s="1" t="s">
        <v>44</v>
      </c>
      <c r="D84" s="1" t="s">
        <v>36</v>
      </c>
      <c r="E84" s="1">
        <v>1</v>
      </c>
      <c r="F84" s="2">
        <v>45175</v>
      </c>
      <c r="G84" s="1">
        <v>18864</v>
      </c>
      <c r="H84" s="1">
        <v>18864</v>
      </c>
      <c r="I84" s="1">
        <v>2967.2368428810801</v>
      </c>
    </row>
    <row r="85" spans="1:9">
      <c r="A85" s="1">
        <v>1084</v>
      </c>
      <c r="B85" s="1">
        <v>117</v>
      </c>
      <c r="C85" s="1" t="s">
        <v>44</v>
      </c>
      <c r="D85" s="1" t="s">
        <v>40</v>
      </c>
      <c r="E85" s="1">
        <v>6</v>
      </c>
      <c r="F85" s="2">
        <v>44973</v>
      </c>
      <c r="G85" s="1">
        <v>3922</v>
      </c>
      <c r="H85" s="1">
        <v>23532</v>
      </c>
      <c r="I85" s="1">
        <v>2959.4858161370698</v>
      </c>
    </row>
    <row r="86" spans="1:9">
      <c r="A86" s="1">
        <v>1085</v>
      </c>
      <c r="B86" s="1">
        <v>108</v>
      </c>
      <c r="C86" s="1" t="s">
        <v>41</v>
      </c>
      <c r="D86" s="1" t="s">
        <v>45</v>
      </c>
      <c r="E86" s="1">
        <v>4</v>
      </c>
      <c r="F86" s="2">
        <v>45047</v>
      </c>
      <c r="G86" s="1">
        <v>30446</v>
      </c>
      <c r="H86" s="1">
        <v>121784</v>
      </c>
      <c r="I86" s="1">
        <v>17220.262941000001</v>
      </c>
    </row>
    <row r="87" spans="1:9">
      <c r="A87" s="1">
        <v>1086</v>
      </c>
      <c r="B87" s="1">
        <v>103</v>
      </c>
      <c r="C87" s="1" t="s">
        <v>44</v>
      </c>
      <c r="D87" s="1" t="s">
        <v>43</v>
      </c>
      <c r="E87" s="1">
        <v>1</v>
      </c>
      <c r="F87" s="2">
        <v>45140</v>
      </c>
      <c r="G87" s="1">
        <v>21175</v>
      </c>
      <c r="H87" s="1">
        <v>21175</v>
      </c>
      <c r="I87" s="1">
        <v>3616.5115882270902</v>
      </c>
    </row>
    <row r="88" spans="1:9">
      <c r="A88" s="1">
        <v>1087</v>
      </c>
      <c r="B88" s="1">
        <v>103</v>
      </c>
      <c r="C88" s="1" t="s">
        <v>41</v>
      </c>
      <c r="D88" s="1" t="s">
        <v>43</v>
      </c>
      <c r="E88" s="1">
        <v>7</v>
      </c>
      <c r="F88" s="2">
        <v>45165</v>
      </c>
      <c r="G88" s="1">
        <v>21175</v>
      </c>
      <c r="H88" s="1">
        <v>148225</v>
      </c>
      <c r="I88" s="1">
        <v>22301.588060526701</v>
      </c>
    </row>
    <row r="89" spans="1:9">
      <c r="A89" s="1">
        <v>1088</v>
      </c>
      <c r="B89" s="1">
        <v>101</v>
      </c>
      <c r="C89" s="1" t="s">
        <v>44</v>
      </c>
      <c r="D89" s="1" t="s">
        <v>38</v>
      </c>
      <c r="E89" s="1">
        <v>9</v>
      </c>
      <c r="F89" s="2">
        <v>44982</v>
      </c>
      <c r="G89" s="1">
        <v>36970</v>
      </c>
      <c r="H89" s="1">
        <v>332730</v>
      </c>
      <c r="I89" s="1">
        <v>52562.065957310799</v>
      </c>
    </row>
    <row r="90" spans="1:9">
      <c r="A90" s="1">
        <v>1089</v>
      </c>
      <c r="B90" s="1">
        <v>105</v>
      </c>
      <c r="C90" s="1" t="s">
        <v>35</v>
      </c>
      <c r="D90" s="1" t="s">
        <v>42</v>
      </c>
      <c r="E90" s="1">
        <v>4</v>
      </c>
      <c r="F90" s="2">
        <v>45276</v>
      </c>
      <c r="G90" s="1">
        <v>18639</v>
      </c>
      <c r="H90" s="1">
        <v>74556</v>
      </c>
      <c r="I90" s="1">
        <v>10979.973685532899</v>
      </c>
    </row>
    <row r="91" spans="1:9">
      <c r="A91" s="1">
        <v>1090</v>
      </c>
      <c r="B91" s="1">
        <v>110</v>
      </c>
      <c r="C91" s="1" t="s">
        <v>44</v>
      </c>
      <c r="D91" s="1" t="s">
        <v>40</v>
      </c>
      <c r="E91" s="1">
        <v>4</v>
      </c>
      <c r="F91" s="2">
        <v>45033</v>
      </c>
      <c r="G91" s="1">
        <v>35299</v>
      </c>
      <c r="H91" s="1">
        <v>141196</v>
      </c>
      <c r="I91" s="1">
        <v>18608.367036752701</v>
      </c>
    </row>
    <row r="92" spans="1:9">
      <c r="A92" s="1">
        <v>1091</v>
      </c>
      <c r="B92" s="1">
        <v>107</v>
      </c>
      <c r="C92" s="1" t="s">
        <v>41</v>
      </c>
      <c r="D92" s="1" t="s">
        <v>38</v>
      </c>
      <c r="E92" s="1">
        <v>6</v>
      </c>
      <c r="F92" s="2">
        <v>44974</v>
      </c>
      <c r="G92" s="1">
        <v>39276</v>
      </c>
      <c r="H92" s="1">
        <v>235656</v>
      </c>
      <c r="I92" s="1">
        <v>48162.524003972001</v>
      </c>
    </row>
    <row r="93" spans="1:9">
      <c r="A93" s="1">
        <v>1092</v>
      </c>
      <c r="B93" s="1">
        <v>109</v>
      </c>
      <c r="C93" s="1" t="s">
        <v>41</v>
      </c>
      <c r="D93" s="1" t="s">
        <v>36</v>
      </c>
      <c r="E93" s="1">
        <v>3</v>
      </c>
      <c r="F93" s="2">
        <v>45499</v>
      </c>
      <c r="G93" s="1">
        <v>23978</v>
      </c>
      <c r="H93" s="1">
        <v>71934</v>
      </c>
      <c r="I93" s="1">
        <v>3772.26316082524</v>
      </c>
    </row>
    <row r="94" spans="1:9">
      <c r="A94" s="1">
        <v>1093</v>
      </c>
      <c r="B94" s="1">
        <v>107</v>
      </c>
      <c r="C94" s="1" t="s">
        <v>41</v>
      </c>
      <c r="D94" s="1" t="s">
        <v>36</v>
      </c>
      <c r="E94" s="1">
        <v>6</v>
      </c>
      <c r="F94" s="2">
        <v>45263</v>
      </c>
      <c r="G94" s="1">
        <v>39276</v>
      </c>
      <c r="H94" s="1">
        <v>235656</v>
      </c>
      <c r="I94" s="1">
        <v>39988.122639043802</v>
      </c>
    </row>
    <row r="95" spans="1:9">
      <c r="A95" s="1">
        <v>1094</v>
      </c>
      <c r="B95" s="1">
        <v>109</v>
      </c>
      <c r="C95" s="1" t="s">
        <v>41</v>
      </c>
      <c r="D95" s="1" t="s">
        <v>38</v>
      </c>
      <c r="E95" s="1">
        <v>7</v>
      </c>
      <c r="F95" s="2">
        <v>44952</v>
      </c>
      <c r="G95" s="1">
        <v>23978</v>
      </c>
      <c r="H95" s="1">
        <v>167846</v>
      </c>
      <c r="I95" s="1">
        <v>27375.9628129544</v>
      </c>
    </row>
    <row r="96" spans="1:9">
      <c r="A96" s="1">
        <v>1095</v>
      </c>
      <c r="B96" s="1">
        <v>108</v>
      </c>
      <c r="C96" s="1" t="s">
        <v>41</v>
      </c>
      <c r="D96" s="1" t="s">
        <v>43</v>
      </c>
      <c r="E96" s="1">
        <v>3</v>
      </c>
      <c r="F96" s="2">
        <v>45183</v>
      </c>
      <c r="G96" s="1">
        <v>30446</v>
      </c>
      <c r="H96" s="1">
        <v>91338</v>
      </c>
      <c r="I96" s="1">
        <v>17649.772865591702</v>
      </c>
    </row>
    <row r="97" spans="1:9">
      <c r="A97" s="1">
        <v>1096</v>
      </c>
      <c r="B97" s="1">
        <v>112</v>
      </c>
      <c r="C97" s="1" t="s">
        <v>37</v>
      </c>
      <c r="D97" s="1" t="s">
        <v>36</v>
      </c>
      <c r="E97" s="1">
        <v>7</v>
      </c>
      <c r="F97" s="2">
        <v>44934</v>
      </c>
      <c r="G97" s="1">
        <v>34365</v>
      </c>
      <c r="H97" s="1">
        <v>240555</v>
      </c>
      <c r="I97" s="1">
        <v>40847.651768802003</v>
      </c>
    </row>
    <row r="98" spans="1:9">
      <c r="A98" s="1">
        <v>1097</v>
      </c>
      <c r="B98" s="1">
        <v>102</v>
      </c>
      <c r="C98" s="1" t="s">
        <v>37</v>
      </c>
      <c r="D98" s="1" t="s">
        <v>39</v>
      </c>
      <c r="E98" s="1">
        <v>3</v>
      </c>
      <c r="F98" s="2">
        <v>45551</v>
      </c>
      <c r="G98" s="1">
        <v>20365</v>
      </c>
      <c r="H98" s="1">
        <v>61095</v>
      </c>
      <c r="I98" s="1">
        <v>13157.4048769991</v>
      </c>
    </row>
    <row r="99" spans="1:9">
      <c r="A99" s="1">
        <v>1098</v>
      </c>
      <c r="B99" s="1">
        <v>101</v>
      </c>
      <c r="C99" s="1" t="s">
        <v>44</v>
      </c>
      <c r="D99" s="1" t="s">
        <v>45</v>
      </c>
      <c r="E99" s="1">
        <v>2</v>
      </c>
      <c r="F99" s="2">
        <v>45179</v>
      </c>
      <c r="G99" s="1">
        <v>36970</v>
      </c>
      <c r="H99" s="1">
        <v>73940</v>
      </c>
      <c r="I99" s="1">
        <v>17879.7980620128</v>
      </c>
    </row>
    <row r="100" spans="1:9">
      <c r="A100" s="1">
        <v>1099</v>
      </c>
      <c r="B100" s="1">
        <v>116</v>
      </c>
      <c r="C100" s="1" t="s">
        <v>41</v>
      </c>
      <c r="D100" s="1" t="s">
        <v>45</v>
      </c>
      <c r="E100" s="1">
        <v>4</v>
      </c>
      <c r="F100" s="2">
        <v>45618</v>
      </c>
      <c r="G100" s="1">
        <v>26393</v>
      </c>
      <c r="H100" s="1">
        <v>105572</v>
      </c>
      <c r="I100" s="1">
        <v>12510.794175770599</v>
      </c>
    </row>
    <row r="101" spans="1:9">
      <c r="A101" s="1">
        <v>1100</v>
      </c>
      <c r="B101" s="1">
        <v>105</v>
      </c>
      <c r="C101" s="1" t="s">
        <v>44</v>
      </c>
      <c r="D101" s="1" t="s">
        <v>39</v>
      </c>
      <c r="E101" s="1">
        <v>8</v>
      </c>
      <c r="F101" s="2">
        <v>45645</v>
      </c>
      <c r="G101" s="1">
        <v>18639</v>
      </c>
      <c r="H101" s="1">
        <v>149112</v>
      </c>
      <c r="I101" s="1">
        <v>14235.751956313499</v>
      </c>
    </row>
    <row r="102" spans="1:9">
      <c r="A102" s="1">
        <v>1101</v>
      </c>
      <c r="B102" s="1">
        <v>103</v>
      </c>
      <c r="C102" s="1" t="s">
        <v>41</v>
      </c>
      <c r="D102" s="1" t="s">
        <v>38</v>
      </c>
      <c r="E102" s="1">
        <v>9</v>
      </c>
      <c r="F102" s="2">
        <v>45229</v>
      </c>
      <c r="G102" s="1">
        <v>21175</v>
      </c>
      <c r="H102" s="1">
        <v>190575</v>
      </c>
      <c r="I102" s="1">
        <v>25674.1444111567</v>
      </c>
    </row>
    <row r="103" spans="1:9">
      <c r="A103" s="1">
        <v>1102</v>
      </c>
      <c r="B103" s="1">
        <v>112</v>
      </c>
      <c r="C103" s="1" t="s">
        <v>41</v>
      </c>
      <c r="D103" s="1" t="s">
        <v>39</v>
      </c>
      <c r="E103" s="1">
        <v>7</v>
      </c>
      <c r="F103" s="2">
        <v>45565</v>
      </c>
      <c r="G103" s="1">
        <v>34365</v>
      </c>
      <c r="H103" s="1">
        <v>240555</v>
      </c>
      <c r="I103" s="1">
        <v>25880.331778263699</v>
      </c>
    </row>
    <row r="104" spans="1:9">
      <c r="A104" s="1">
        <v>1103</v>
      </c>
      <c r="B104" s="1">
        <v>108</v>
      </c>
      <c r="C104" s="1" t="s">
        <v>37</v>
      </c>
      <c r="D104" s="1" t="s">
        <v>40</v>
      </c>
      <c r="E104" s="1">
        <v>1</v>
      </c>
      <c r="F104" s="2">
        <v>44982</v>
      </c>
      <c r="G104" s="1">
        <v>30446</v>
      </c>
      <c r="H104" s="1">
        <v>30446</v>
      </c>
      <c r="I104" s="1">
        <v>5266.8551423891404</v>
      </c>
    </row>
    <row r="105" spans="1:9">
      <c r="A105" s="1">
        <v>1104</v>
      </c>
      <c r="B105" s="1">
        <v>103</v>
      </c>
      <c r="C105" s="1" t="s">
        <v>37</v>
      </c>
      <c r="D105" s="1" t="s">
        <v>40</v>
      </c>
      <c r="E105" s="1">
        <v>3</v>
      </c>
      <c r="F105" s="2">
        <v>45652</v>
      </c>
      <c r="G105" s="1">
        <v>21175</v>
      </c>
      <c r="H105" s="1">
        <v>63525</v>
      </c>
      <c r="I105" s="1">
        <v>14761.3348543499</v>
      </c>
    </row>
    <row r="106" spans="1:9">
      <c r="A106" s="1">
        <v>1105</v>
      </c>
      <c r="B106" s="1">
        <v>101</v>
      </c>
      <c r="C106" s="1" t="s">
        <v>35</v>
      </c>
      <c r="D106" s="1" t="s">
        <v>38</v>
      </c>
      <c r="E106" s="1">
        <v>9</v>
      </c>
      <c r="F106" s="2">
        <v>45452</v>
      </c>
      <c r="G106" s="1">
        <v>36970</v>
      </c>
      <c r="H106" s="1">
        <v>332730</v>
      </c>
      <c r="I106" s="1">
        <v>25894.1262554442</v>
      </c>
    </row>
    <row r="107" spans="1:9">
      <c r="A107" s="1">
        <v>1106</v>
      </c>
      <c r="B107" s="1">
        <v>103</v>
      </c>
      <c r="C107" s="1" t="s">
        <v>37</v>
      </c>
      <c r="D107" s="1" t="s">
        <v>39</v>
      </c>
      <c r="E107" s="1">
        <v>1</v>
      </c>
      <c r="F107" s="2">
        <v>45400</v>
      </c>
      <c r="G107" s="1">
        <v>21175</v>
      </c>
      <c r="H107" s="1">
        <v>21175</v>
      </c>
      <c r="I107" s="1">
        <v>1485.6151437722799</v>
      </c>
    </row>
    <row r="108" spans="1:9">
      <c r="A108" s="1">
        <v>1107</v>
      </c>
      <c r="B108" s="1">
        <v>105</v>
      </c>
      <c r="C108" s="1" t="s">
        <v>35</v>
      </c>
      <c r="D108" s="1" t="s">
        <v>40</v>
      </c>
      <c r="E108" s="1">
        <v>9</v>
      </c>
      <c r="F108" s="2">
        <v>44954</v>
      </c>
      <c r="G108" s="1">
        <v>18639</v>
      </c>
      <c r="H108" s="1">
        <v>167751</v>
      </c>
      <c r="I108" s="1">
        <v>16976.9222967967</v>
      </c>
    </row>
    <row r="109" spans="1:9">
      <c r="A109" s="1">
        <v>1108</v>
      </c>
      <c r="B109" s="1">
        <v>115</v>
      </c>
      <c r="C109" s="1" t="s">
        <v>35</v>
      </c>
      <c r="D109" s="1" t="s">
        <v>43</v>
      </c>
      <c r="E109" s="1">
        <v>8</v>
      </c>
      <c r="F109" s="2">
        <v>45004</v>
      </c>
      <c r="G109" s="1">
        <v>45111</v>
      </c>
      <c r="H109" s="1">
        <v>360888</v>
      </c>
      <c r="I109" s="1">
        <v>70452.236772577497</v>
      </c>
    </row>
    <row r="110" spans="1:9">
      <c r="A110" s="1">
        <v>1109</v>
      </c>
      <c r="B110" s="1">
        <v>114</v>
      </c>
      <c r="C110" s="1" t="s">
        <v>35</v>
      </c>
      <c r="D110" s="1" t="s">
        <v>39</v>
      </c>
      <c r="E110" s="1">
        <v>1</v>
      </c>
      <c r="F110" s="2">
        <v>45142</v>
      </c>
      <c r="G110" s="1">
        <v>4485</v>
      </c>
      <c r="H110" s="1">
        <v>4485</v>
      </c>
      <c r="I110" s="1">
        <v>756.137726017163</v>
      </c>
    </row>
    <row r="111" spans="1:9">
      <c r="A111" s="1">
        <v>1110</v>
      </c>
      <c r="B111" s="1">
        <v>103</v>
      </c>
      <c r="C111" s="1" t="s">
        <v>35</v>
      </c>
      <c r="D111" s="1" t="s">
        <v>43</v>
      </c>
      <c r="E111" s="1">
        <v>6</v>
      </c>
      <c r="F111" s="2">
        <v>45312</v>
      </c>
      <c r="G111" s="1">
        <v>21175</v>
      </c>
      <c r="H111" s="1">
        <v>127050</v>
      </c>
      <c r="I111" s="1">
        <v>8949.7237979623205</v>
      </c>
    </row>
    <row r="112" spans="1:9">
      <c r="A112" s="1">
        <v>1111</v>
      </c>
      <c r="B112" s="1">
        <v>101</v>
      </c>
      <c r="C112" s="1" t="s">
        <v>35</v>
      </c>
      <c r="D112" s="1" t="s">
        <v>40</v>
      </c>
      <c r="E112" s="1">
        <v>5</v>
      </c>
      <c r="F112" s="2">
        <v>45291</v>
      </c>
      <c r="G112" s="1">
        <v>36970</v>
      </c>
      <c r="H112" s="1">
        <v>184850</v>
      </c>
      <c r="I112" s="1">
        <v>43208.706807979797</v>
      </c>
    </row>
    <row r="113" spans="1:9">
      <c r="A113" s="1">
        <v>1112</v>
      </c>
      <c r="B113" s="1">
        <v>105</v>
      </c>
      <c r="C113" s="1" t="s">
        <v>44</v>
      </c>
      <c r="D113" s="1" t="s">
        <v>45</v>
      </c>
      <c r="E113" s="1">
        <v>6</v>
      </c>
      <c r="F113" s="2">
        <v>45592</v>
      </c>
      <c r="G113" s="1">
        <v>18639</v>
      </c>
      <c r="H113" s="1">
        <v>111834</v>
      </c>
      <c r="I113" s="1">
        <v>23263.365061626999</v>
      </c>
    </row>
    <row r="114" spans="1:9">
      <c r="A114" s="1">
        <v>1113</v>
      </c>
      <c r="B114" s="1">
        <v>114</v>
      </c>
      <c r="C114" s="1" t="s">
        <v>37</v>
      </c>
      <c r="D114" s="1" t="s">
        <v>40</v>
      </c>
      <c r="E114" s="1">
        <v>5</v>
      </c>
      <c r="F114" s="2">
        <v>45452</v>
      </c>
      <c r="G114" s="1">
        <v>4485</v>
      </c>
      <c r="H114" s="1">
        <v>22425</v>
      </c>
      <c r="I114" s="1">
        <v>1224.5063824725501</v>
      </c>
    </row>
    <row r="115" spans="1:9">
      <c r="A115" s="1">
        <v>1114</v>
      </c>
      <c r="B115" s="1">
        <v>107</v>
      </c>
      <c r="C115" s="1" t="s">
        <v>35</v>
      </c>
      <c r="D115" s="1" t="s">
        <v>43</v>
      </c>
      <c r="E115" s="1">
        <v>6</v>
      </c>
      <c r="F115" s="2">
        <v>45625</v>
      </c>
      <c r="G115" s="1">
        <v>39276</v>
      </c>
      <c r="H115" s="1">
        <v>235656</v>
      </c>
      <c r="I115" s="1">
        <v>42482.518294529204</v>
      </c>
    </row>
    <row r="116" spans="1:9">
      <c r="A116" s="1">
        <v>1115</v>
      </c>
      <c r="B116" s="1">
        <v>109</v>
      </c>
      <c r="C116" s="1" t="s">
        <v>41</v>
      </c>
      <c r="D116" s="1" t="s">
        <v>46</v>
      </c>
      <c r="E116" s="1">
        <v>5</v>
      </c>
      <c r="F116" s="2">
        <v>45238</v>
      </c>
      <c r="G116" s="1">
        <v>23978</v>
      </c>
      <c r="H116" s="1">
        <v>119890</v>
      </c>
      <c r="I116" s="1">
        <v>24487.452617766299</v>
      </c>
    </row>
    <row r="117" spans="1:9">
      <c r="A117" s="1">
        <v>1116</v>
      </c>
      <c r="B117" s="1">
        <v>115</v>
      </c>
      <c r="C117" s="1" t="s">
        <v>37</v>
      </c>
      <c r="D117" s="1" t="s">
        <v>42</v>
      </c>
      <c r="E117" s="1">
        <v>5</v>
      </c>
      <c r="F117" s="2">
        <v>44933</v>
      </c>
      <c r="G117" s="1">
        <v>45111</v>
      </c>
      <c r="H117" s="1">
        <v>225555</v>
      </c>
      <c r="I117" s="1">
        <v>28168.903963458</v>
      </c>
    </row>
    <row r="118" spans="1:9">
      <c r="A118" s="1">
        <v>1117</v>
      </c>
      <c r="B118" s="1">
        <v>115</v>
      </c>
      <c r="C118" s="1" t="s">
        <v>37</v>
      </c>
      <c r="D118" s="1" t="s">
        <v>36</v>
      </c>
      <c r="E118" s="1">
        <v>4</v>
      </c>
      <c r="F118" s="2">
        <v>44929</v>
      </c>
      <c r="G118" s="1">
        <v>45111</v>
      </c>
      <c r="H118" s="1">
        <v>180444</v>
      </c>
      <c r="I118" s="1">
        <v>11509.4956499157</v>
      </c>
    </row>
    <row r="119" spans="1:9">
      <c r="A119" s="1">
        <v>1118</v>
      </c>
      <c r="B119" s="1">
        <v>110</v>
      </c>
      <c r="C119" s="1" t="s">
        <v>35</v>
      </c>
      <c r="D119" s="1" t="s">
        <v>39</v>
      </c>
      <c r="E119" s="1">
        <v>3</v>
      </c>
      <c r="F119" s="2">
        <v>45549</v>
      </c>
      <c r="G119" s="1">
        <v>35299</v>
      </c>
      <c r="H119" s="1">
        <v>105897</v>
      </c>
      <c r="I119" s="1">
        <v>6932.4637744132197</v>
      </c>
    </row>
    <row r="120" spans="1:9">
      <c r="A120" s="1">
        <v>1119</v>
      </c>
      <c r="B120" s="1">
        <v>113</v>
      </c>
      <c r="C120" s="1" t="s">
        <v>44</v>
      </c>
      <c r="D120" s="1" t="s">
        <v>46</v>
      </c>
      <c r="E120" s="1">
        <v>3</v>
      </c>
      <c r="F120" s="2">
        <v>45289</v>
      </c>
      <c r="G120" s="1">
        <v>4587</v>
      </c>
      <c r="H120" s="1">
        <v>13761</v>
      </c>
      <c r="I120" s="1">
        <v>974.95849996778998</v>
      </c>
    </row>
    <row r="121" spans="1:9">
      <c r="A121" s="1">
        <v>1120</v>
      </c>
      <c r="B121" s="1">
        <v>119</v>
      </c>
      <c r="C121" s="1" t="s">
        <v>35</v>
      </c>
      <c r="D121" s="1" t="s">
        <v>40</v>
      </c>
      <c r="E121" s="1">
        <v>4</v>
      </c>
      <c r="F121" s="2">
        <v>45434</v>
      </c>
      <c r="G121" s="1">
        <v>18864</v>
      </c>
      <c r="H121" s="1">
        <v>75456</v>
      </c>
      <c r="I121" s="1">
        <v>16456.042574143001</v>
      </c>
    </row>
    <row r="122" spans="1:9">
      <c r="A122" s="1">
        <v>1121</v>
      </c>
      <c r="B122" s="1">
        <v>107</v>
      </c>
      <c r="C122" s="1" t="s">
        <v>44</v>
      </c>
      <c r="D122" s="1" t="s">
        <v>45</v>
      </c>
      <c r="E122" s="1">
        <v>9</v>
      </c>
      <c r="F122" s="2">
        <v>45200</v>
      </c>
      <c r="G122" s="1">
        <v>39276</v>
      </c>
      <c r="H122" s="1">
        <v>353484</v>
      </c>
      <c r="I122" s="1">
        <v>82056.800020844501</v>
      </c>
    </row>
    <row r="123" spans="1:9">
      <c r="A123" s="1">
        <v>1122</v>
      </c>
      <c r="B123" s="1">
        <v>117</v>
      </c>
      <c r="C123" s="1" t="s">
        <v>41</v>
      </c>
      <c r="D123" s="1" t="s">
        <v>38</v>
      </c>
      <c r="E123" s="1">
        <v>2</v>
      </c>
      <c r="F123" s="2">
        <v>45432</v>
      </c>
      <c r="G123" s="1">
        <v>3922</v>
      </c>
      <c r="H123" s="1">
        <v>7844</v>
      </c>
      <c r="I123" s="1">
        <v>584.86555455958705</v>
      </c>
    </row>
    <row r="124" spans="1:9">
      <c r="A124" s="1">
        <v>1123</v>
      </c>
      <c r="B124" s="1">
        <v>120</v>
      </c>
      <c r="C124" s="1" t="s">
        <v>37</v>
      </c>
      <c r="D124" s="1" t="s">
        <v>40</v>
      </c>
      <c r="E124" s="1">
        <v>9</v>
      </c>
      <c r="F124" s="2">
        <v>44941</v>
      </c>
      <c r="G124" s="1">
        <v>39145</v>
      </c>
      <c r="H124" s="1">
        <v>352305</v>
      </c>
      <c r="I124" s="1">
        <v>34237.425103604</v>
      </c>
    </row>
    <row r="125" spans="1:9">
      <c r="A125" s="1">
        <v>1124</v>
      </c>
      <c r="B125" s="1">
        <v>104</v>
      </c>
      <c r="C125" s="1" t="s">
        <v>41</v>
      </c>
      <c r="D125" s="1" t="s">
        <v>45</v>
      </c>
      <c r="E125" s="1">
        <v>1</v>
      </c>
      <c r="F125" s="2">
        <v>45118</v>
      </c>
      <c r="G125" s="1">
        <v>42430</v>
      </c>
      <c r="H125" s="1">
        <v>42430</v>
      </c>
      <c r="I125" s="1">
        <v>3526.1070509768201</v>
      </c>
    </row>
    <row r="126" spans="1:9">
      <c r="A126" s="1">
        <v>1125</v>
      </c>
      <c r="B126" s="1">
        <v>105</v>
      </c>
      <c r="C126" s="1" t="s">
        <v>44</v>
      </c>
      <c r="D126" s="1" t="s">
        <v>42</v>
      </c>
      <c r="E126" s="1">
        <v>1</v>
      </c>
      <c r="F126" s="2">
        <v>45557</v>
      </c>
      <c r="G126" s="1">
        <v>18639</v>
      </c>
      <c r="H126" s="1">
        <v>18639</v>
      </c>
      <c r="I126" s="1">
        <v>1626.51697457818</v>
      </c>
    </row>
    <row r="127" spans="1:9">
      <c r="A127" s="1">
        <v>1126</v>
      </c>
      <c r="B127" s="1">
        <v>107</v>
      </c>
      <c r="C127" s="1" t="s">
        <v>44</v>
      </c>
      <c r="D127" s="1" t="s">
        <v>40</v>
      </c>
      <c r="E127" s="1">
        <v>5</v>
      </c>
      <c r="F127" s="2">
        <v>45411</v>
      </c>
      <c r="G127" s="1">
        <v>39276</v>
      </c>
      <c r="H127" s="1">
        <v>196380</v>
      </c>
      <c r="I127" s="1">
        <v>42712.2882288619</v>
      </c>
    </row>
    <row r="128" spans="1:9">
      <c r="A128" s="1">
        <v>1127</v>
      </c>
      <c r="B128" s="1">
        <v>113</v>
      </c>
      <c r="C128" s="1" t="s">
        <v>41</v>
      </c>
      <c r="D128" s="1" t="s">
        <v>43</v>
      </c>
      <c r="E128" s="1">
        <v>6</v>
      </c>
      <c r="F128" s="2">
        <v>44954</v>
      </c>
      <c r="G128" s="1">
        <v>4587</v>
      </c>
      <c r="H128" s="1">
        <v>27522</v>
      </c>
      <c r="I128" s="1">
        <v>3204.3667138178498</v>
      </c>
    </row>
    <row r="129" spans="1:9">
      <c r="A129" s="1">
        <v>1128</v>
      </c>
      <c r="B129" s="1">
        <v>115</v>
      </c>
      <c r="C129" s="1" t="s">
        <v>44</v>
      </c>
      <c r="D129" s="1" t="s">
        <v>38</v>
      </c>
      <c r="E129" s="1">
        <v>6</v>
      </c>
      <c r="F129" s="2">
        <v>45640</v>
      </c>
      <c r="G129" s="1">
        <v>45111</v>
      </c>
      <c r="H129" s="1">
        <v>270666</v>
      </c>
      <c r="I129" s="1">
        <v>30392.7746344355</v>
      </c>
    </row>
    <row r="130" spans="1:9">
      <c r="A130" s="1">
        <v>1129</v>
      </c>
      <c r="B130" s="1">
        <v>111</v>
      </c>
      <c r="C130" s="1" t="s">
        <v>41</v>
      </c>
      <c r="D130" s="1" t="s">
        <v>45</v>
      </c>
      <c r="E130" s="1">
        <v>3</v>
      </c>
      <c r="F130" s="2">
        <v>44965</v>
      </c>
      <c r="G130" s="1">
        <v>14664</v>
      </c>
      <c r="H130" s="1">
        <v>43992</v>
      </c>
      <c r="I130" s="1">
        <v>4200.3176307251897</v>
      </c>
    </row>
    <row r="131" spans="1:9">
      <c r="A131" s="1">
        <v>1130</v>
      </c>
      <c r="B131" s="1">
        <v>104</v>
      </c>
      <c r="C131" s="1" t="s">
        <v>37</v>
      </c>
      <c r="D131" s="1" t="s">
        <v>45</v>
      </c>
      <c r="E131" s="1">
        <v>7</v>
      </c>
      <c r="F131" s="2">
        <v>45199</v>
      </c>
      <c r="G131" s="1">
        <v>42430</v>
      </c>
      <c r="H131" s="1">
        <v>297010</v>
      </c>
      <c r="I131" s="1">
        <v>50960.6427801666</v>
      </c>
    </row>
    <row r="132" spans="1:9">
      <c r="A132" s="1">
        <v>1131</v>
      </c>
      <c r="B132" s="1">
        <v>113</v>
      </c>
      <c r="C132" s="1" t="s">
        <v>41</v>
      </c>
      <c r="D132" s="1" t="s">
        <v>45</v>
      </c>
      <c r="E132" s="1">
        <v>9</v>
      </c>
      <c r="F132" s="2">
        <v>45157</v>
      </c>
      <c r="G132" s="1">
        <v>4587</v>
      </c>
      <c r="H132" s="1">
        <v>41283</v>
      </c>
      <c r="I132" s="1">
        <v>5195.9254292901196</v>
      </c>
    </row>
    <row r="133" spans="1:9">
      <c r="A133" s="1">
        <v>1132</v>
      </c>
      <c r="B133" s="1">
        <v>107</v>
      </c>
      <c r="C133" s="1" t="s">
        <v>37</v>
      </c>
      <c r="D133" s="1" t="s">
        <v>42</v>
      </c>
      <c r="E133" s="1">
        <v>8</v>
      </c>
      <c r="F133" s="2">
        <v>45012</v>
      </c>
      <c r="G133" s="1">
        <v>39276</v>
      </c>
      <c r="H133" s="1">
        <v>314208</v>
      </c>
      <c r="I133" s="1">
        <v>62480.238921275202</v>
      </c>
    </row>
    <row r="134" spans="1:9">
      <c r="A134" s="1">
        <v>1133</v>
      </c>
      <c r="B134" s="1">
        <v>119</v>
      </c>
      <c r="C134" s="1" t="s">
        <v>41</v>
      </c>
      <c r="D134" s="1" t="s">
        <v>40</v>
      </c>
      <c r="E134" s="1">
        <v>6</v>
      </c>
      <c r="F134" s="2">
        <v>45400</v>
      </c>
      <c r="G134" s="1">
        <v>18864</v>
      </c>
      <c r="H134" s="1">
        <v>113184</v>
      </c>
      <c r="I134" s="1">
        <v>10312.869006237601</v>
      </c>
    </row>
    <row r="135" spans="1:9">
      <c r="A135" s="1">
        <v>1134</v>
      </c>
      <c r="B135" s="1">
        <v>102</v>
      </c>
      <c r="C135" s="1" t="s">
        <v>44</v>
      </c>
      <c r="D135" s="1" t="s">
        <v>42</v>
      </c>
      <c r="E135" s="1">
        <v>8</v>
      </c>
      <c r="F135" s="2">
        <v>45052</v>
      </c>
      <c r="G135" s="1">
        <v>20365</v>
      </c>
      <c r="H135" s="1">
        <v>162920</v>
      </c>
      <c r="I135" s="1">
        <v>33815.345733873</v>
      </c>
    </row>
    <row r="136" spans="1:9">
      <c r="A136" s="1">
        <v>1135</v>
      </c>
      <c r="B136" s="1">
        <v>110</v>
      </c>
      <c r="C136" s="1" t="s">
        <v>41</v>
      </c>
      <c r="D136" s="1" t="s">
        <v>39</v>
      </c>
      <c r="E136" s="1">
        <v>5</v>
      </c>
      <c r="F136" s="2">
        <v>45463</v>
      </c>
      <c r="G136" s="1">
        <v>35299</v>
      </c>
      <c r="H136" s="1">
        <v>176495</v>
      </c>
      <c r="I136" s="1">
        <v>30135.516348542202</v>
      </c>
    </row>
    <row r="137" spans="1:9">
      <c r="A137" s="1">
        <v>1136</v>
      </c>
      <c r="B137" s="1">
        <v>113</v>
      </c>
      <c r="C137" s="1" t="s">
        <v>44</v>
      </c>
      <c r="D137" s="1" t="s">
        <v>36</v>
      </c>
      <c r="E137" s="1">
        <v>8</v>
      </c>
      <c r="F137" s="2">
        <v>45071</v>
      </c>
      <c r="G137" s="1">
        <v>4587</v>
      </c>
      <c r="H137" s="1">
        <v>36696</v>
      </c>
      <c r="I137" s="1">
        <v>2673.4305685687</v>
      </c>
    </row>
    <row r="138" spans="1:9">
      <c r="A138" s="1">
        <v>1137</v>
      </c>
      <c r="B138" s="1">
        <v>106</v>
      </c>
      <c r="C138" s="1" t="s">
        <v>41</v>
      </c>
      <c r="D138" s="1" t="s">
        <v>36</v>
      </c>
      <c r="E138" s="1">
        <v>4</v>
      </c>
      <c r="F138" s="2">
        <v>45451</v>
      </c>
      <c r="G138" s="1">
        <v>20269</v>
      </c>
      <c r="H138" s="1">
        <v>81076</v>
      </c>
      <c r="I138" s="1">
        <v>10775.0747337787</v>
      </c>
    </row>
    <row r="139" spans="1:9">
      <c r="A139" s="1">
        <v>1138</v>
      </c>
      <c r="B139" s="1">
        <v>112</v>
      </c>
      <c r="C139" s="1" t="s">
        <v>41</v>
      </c>
      <c r="D139" s="1" t="s">
        <v>39</v>
      </c>
      <c r="E139" s="1">
        <v>8</v>
      </c>
      <c r="F139" s="2">
        <v>45138</v>
      </c>
      <c r="G139" s="1">
        <v>34365</v>
      </c>
      <c r="H139" s="1">
        <v>274920</v>
      </c>
      <c r="I139" s="1">
        <v>61225.681443462803</v>
      </c>
    </row>
    <row r="140" spans="1:9">
      <c r="A140" s="1">
        <v>1139</v>
      </c>
      <c r="B140" s="1">
        <v>112</v>
      </c>
      <c r="C140" s="1" t="s">
        <v>35</v>
      </c>
      <c r="D140" s="1" t="s">
        <v>40</v>
      </c>
      <c r="E140" s="1">
        <v>2</v>
      </c>
      <c r="F140" s="2">
        <v>44951</v>
      </c>
      <c r="G140" s="1">
        <v>34365</v>
      </c>
      <c r="H140" s="1">
        <v>68730</v>
      </c>
      <c r="I140" s="1">
        <v>16123.511346302001</v>
      </c>
    </row>
    <row r="141" spans="1:9">
      <c r="A141" s="1">
        <v>1140</v>
      </c>
      <c r="B141" s="1">
        <v>120</v>
      </c>
      <c r="C141" s="1" t="s">
        <v>44</v>
      </c>
      <c r="D141" s="1" t="s">
        <v>43</v>
      </c>
      <c r="E141" s="1">
        <v>5</v>
      </c>
      <c r="F141" s="2">
        <v>45506</v>
      </c>
      <c r="G141" s="1">
        <v>39145</v>
      </c>
      <c r="H141" s="1">
        <v>195725</v>
      </c>
      <c r="I141" s="1">
        <v>28016.081288169898</v>
      </c>
    </row>
    <row r="142" spans="1:9">
      <c r="A142" s="1">
        <v>1141</v>
      </c>
      <c r="B142" s="1">
        <v>111</v>
      </c>
      <c r="C142" s="1" t="s">
        <v>35</v>
      </c>
      <c r="D142" s="1" t="s">
        <v>42</v>
      </c>
      <c r="E142" s="1">
        <v>9</v>
      </c>
      <c r="F142" s="2">
        <v>45320</v>
      </c>
      <c r="G142" s="1">
        <v>14664</v>
      </c>
      <c r="H142" s="1">
        <v>131976</v>
      </c>
      <c r="I142" s="1">
        <v>19290.588204056701</v>
      </c>
    </row>
    <row r="143" spans="1:9">
      <c r="A143" s="1">
        <v>1142</v>
      </c>
      <c r="B143" s="1">
        <v>107</v>
      </c>
      <c r="C143" s="1" t="s">
        <v>44</v>
      </c>
      <c r="D143" s="1" t="s">
        <v>38</v>
      </c>
      <c r="E143" s="1">
        <v>4</v>
      </c>
      <c r="F143" s="2">
        <v>44993</v>
      </c>
      <c r="G143" s="1">
        <v>39276</v>
      </c>
      <c r="H143" s="1">
        <v>157104</v>
      </c>
      <c r="I143" s="1">
        <v>36713.7822213728</v>
      </c>
    </row>
    <row r="144" spans="1:9">
      <c r="A144" s="1">
        <v>1143</v>
      </c>
      <c r="B144" s="1">
        <v>101</v>
      </c>
      <c r="C144" s="1" t="s">
        <v>35</v>
      </c>
      <c r="D144" s="1" t="s">
        <v>45</v>
      </c>
      <c r="E144" s="1">
        <v>6</v>
      </c>
      <c r="F144" s="2">
        <v>45159</v>
      </c>
      <c r="G144" s="1">
        <v>36970</v>
      </c>
      <c r="H144" s="1">
        <v>221820</v>
      </c>
      <c r="I144" s="1">
        <v>37135.694695594699</v>
      </c>
    </row>
    <row r="145" spans="1:9">
      <c r="A145" s="1">
        <v>1144</v>
      </c>
      <c r="B145" s="1">
        <v>101</v>
      </c>
      <c r="C145" s="1" t="s">
        <v>37</v>
      </c>
      <c r="D145" s="1" t="s">
        <v>45</v>
      </c>
      <c r="E145" s="1">
        <v>1</v>
      </c>
      <c r="F145" s="2">
        <v>45035</v>
      </c>
      <c r="G145" s="1">
        <v>36970</v>
      </c>
      <c r="H145" s="1">
        <v>36970</v>
      </c>
      <c r="I145" s="1">
        <v>2091.3682797799802</v>
      </c>
    </row>
    <row r="146" spans="1:9">
      <c r="A146" s="1">
        <v>1145</v>
      </c>
      <c r="B146" s="1">
        <v>120</v>
      </c>
      <c r="C146" s="1" t="s">
        <v>41</v>
      </c>
      <c r="D146" s="1" t="s">
        <v>40</v>
      </c>
      <c r="E146" s="1">
        <v>9</v>
      </c>
      <c r="F146" s="2">
        <v>45072</v>
      </c>
      <c r="G146" s="1">
        <v>39145</v>
      </c>
      <c r="H146" s="1">
        <v>352305</v>
      </c>
      <c r="I146" s="1">
        <v>81928.489903926296</v>
      </c>
    </row>
    <row r="147" spans="1:9">
      <c r="A147" s="1">
        <v>1146</v>
      </c>
      <c r="B147" s="1">
        <v>113</v>
      </c>
      <c r="C147" s="1" t="s">
        <v>44</v>
      </c>
      <c r="D147" s="1" t="s">
        <v>43</v>
      </c>
      <c r="E147" s="1">
        <v>1</v>
      </c>
      <c r="F147" s="2">
        <v>45037</v>
      </c>
      <c r="G147" s="1">
        <v>4587</v>
      </c>
      <c r="H147" s="1">
        <v>4587</v>
      </c>
      <c r="I147" s="1">
        <v>457.07293858541101</v>
      </c>
    </row>
    <row r="148" spans="1:9">
      <c r="A148" s="1">
        <v>1147</v>
      </c>
      <c r="B148" s="1">
        <v>109</v>
      </c>
      <c r="C148" s="1" t="s">
        <v>44</v>
      </c>
      <c r="D148" s="1" t="s">
        <v>36</v>
      </c>
      <c r="E148" s="1">
        <v>5</v>
      </c>
      <c r="F148" s="2">
        <v>45154</v>
      </c>
      <c r="G148" s="1">
        <v>23978</v>
      </c>
      <c r="H148" s="1">
        <v>119890</v>
      </c>
      <c r="I148" s="1">
        <v>19844.9589952071</v>
      </c>
    </row>
    <row r="149" spans="1:9">
      <c r="A149" s="1">
        <v>1148</v>
      </c>
      <c r="B149" s="1">
        <v>103</v>
      </c>
      <c r="C149" s="1" t="s">
        <v>41</v>
      </c>
      <c r="D149" s="1" t="s">
        <v>36</v>
      </c>
      <c r="E149" s="1">
        <v>4</v>
      </c>
      <c r="F149" s="2">
        <v>45037</v>
      </c>
      <c r="G149" s="1">
        <v>21175</v>
      </c>
      <c r="H149" s="1">
        <v>84700</v>
      </c>
      <c r="I149" s="1">
        <v>7038.7955972298796</v>
      </c>
    </row>
    <row r="150" spans="1:9">
      <c r="A150" s="1">
        <v>1149</v>
      </c>
      <c r="B150" s="1">
        <v>107</v>
      </c>
      <c r="C150" s="1" t="s">
        <v>44</v>
      </c>
      <c r="D150" s="1" t="s">
        <v>45</v>
      </c>
      <c r="E150" s="1">
        <v>3</v>
      </c>
      <c r="F150" s="2">
        <v>45396</v>
      </c>
      <c r="G150" s="1">
        <v>39276</v>
      </c>
      <c r="H150" s="1">
        <v>117828</v>
      </c>
      <c r="I150" s="1">
        <v>6689.7827387071602</v>
      </c>
    </row>
    <row r="151" spans="1:9">
      <c r="A151" s="1">
        <v>1150</v>
      </c>
      <c r="B151" s="1">
        <v>106</v>
      </c>
      <c r="C151" s="1" t="s">
        <v>44</v>
      </c>
      <c r="D151" s="1" t="s">
        <v>40</v>
      </c>
      <c r="E151" s="1">
        <v>6</v>
      </c>
      <c r="F151" s="2">
        <v>44960</v>
      </c>
      <c r="G151" s="1">
        <v>20269</v>
      </c>
      <c r="H151" s="1">
        <v>121614</v>
      </c>
      <c r="I151" s="1">
        <v>13656.599646827801</v>
      </c>
    </row>
    <row r="152" spans="1:9">
      <c r="A152" s="1">
        <v>1151</v>
      </c>
      <c r="B152" s="1">
        <v>108</v>
      </c>
      <c r="C152" s="1" t="s">
        <v>35</v>
      </c>
      <c r="D152" s="1" t="s">
        <v>42</v>
      </c>
      <c r="E152" s="1">
        <v>2</v>
      </c>
      <c r="F152" s="2">
        <v>45549</v>
      </c>
      <c r="G152" s="1">
        <v>30446</v>
      </c>
      <c r="H152" s="1">
        <v>60892</v>
      </c>
      <c r="I152" s="1">
        <v>12549.788924779299</v>
      </c>
    </row>
    <row r="153" spans="1:9">
      <c r="A153" s="1">
        <v>1152</v>
      </c>
      <c r="B153" s="1">
        <v>109</v>
      </c>
      <c r="C153" s="1" t="s">
        <v>44</v>
      </c>
      <c r="D153" s="1" t="s">
        <v>36</v>
      </c>
      <c r="E153" s="1">
        <v>3</v>
      </c>
      <c r="F153" s="2">
        <v>45295</v>
      </c>
      <c r="G153" s="1">
        <v>23978</v>
      </c>
      <c r="H153" s="1">
        <v>71934</v>
      </c>
      <c r="I153" s="1">
        <v>7590.2911351849098</v>
      </c>
    </row>
    <row r="154" spans="1:9">
      <c r="A154" s="1">
        <v>1153</v>
      </c>
      <c r="B154" s="1">
        <v>105</v>
      </c>
      <c r="C154" s="1" t="s">
        <v>37</v>
      </c>
      <c r="D154" s="1" t="s">
        <v>42</v>
      </c>
      <c r="E154" s="1">
        <v>5</v>
      </c>
      <c r="F154" s="2">
        <v>45521</v>
      </c>
      <c r="G154" s="1">
        <v>18639</v>
      </c>
      <c r="H154" s="1">
        <v>93195</v>
      </c>
      <c r="I154" s="1">
        <v>8762.1419732575705</v>
      </c>
    </row>
    <row r="155" spans="1:9">
      <c r="A155" s="1">
        <v>1154</v>
      </c>
      <c r="B155" s="1">
        <v>101</v>
      </c>
      <c r="C155" s="1" t="s">
        <v>37</v>
      </c>
      <c r="D155" s="1" t="s">
        <v>43</v>
      </c>
      <c r="E155" s="1">
        <v>9</v>
      </c>
      <c r="F155" s="2">
        <v>45480</v>
      </c>
      <c r="G155" s="1">
        <v>36970</v>
      </c>
      <c r="H155" s="1">
        <v>332730</v>
      </c>
      <c r="I155" s="1">
        <v>30789.555474771201</v>
      </c>
    </row>
    <row r="156" spans="1:9">
      <c r="A156" s="1">
        <v>1155</v>
      </c>
      <c r="B156" s="1">
        <v>119</v>
      </c>
      <c r="C156" s="1" t="s">
        <v>41</v>
      </c>
      <c r="D156" s="1" t="s">
        <v>36</v>
      </c>
      <c r="E156" s="1">
        <v>2</v>
      </c>
      <c r="F156" s="2">
        <v>45351</v>
      </c>
      <c r="G156" s="1">
        <v>18864</v>
      </c>
      <c r="H156" s="1">
        <v>37728</v>
      </c>
      <c r="I156" s="1">
        <v>5773.6945379688405</v>
      </c>
    </row>
    <row r="157" spans="1:9">
      <c r="A157" s="1">
        <v>1156</v>
      </c>
      <c r="B157" s="1">
        <v>110</v>
      </c>
      <c r="C157" s="1" t="s">
        <v>44</v>
      </c>
      <c r="D157" s="1" t="s">
        <v>36</v>
      </c>
      <c r="E157" s="1">
        <v>8</v>
      </c>
      <c r="F157" s="2">
        <v>45539</v>
      </c>
      <c r="G157" s="1">
        <v>35299</v>
      </c>
      <c r="H157" s="1">
        <v>282392</v>
      </c>
      <c r="I157" s="1">
        <v>69216.612643657005</v>
      </c>
    </row>
    <row r="158" spans="1:9">
      <c r="A158" s="1">
        <v>1157</v>
      </c>
      <c r="B158" s="1">
        <v>112</v>
      </c>
      <c r="C158" s="1" t="s">
        <v>41</v>
      </c>
      <c r="D158" s="1" t="s">
        <v>46</v>
      </c>
      <c r="E158" s="1">
        <v>2</v>
      </c>
      <c r="F158" s="2">
        <v>45444</v>
      </c>
      <c r="G158" s="1">
        <v>34365</v>
      </c>
      <c r="H158" s="1">
        <v>68730</v>
      </c>
      <c r="I158" s="1">
        <v>9745.7626292818604</v>
      </c>
    </row>
    <row r="159" spans="1:9">
      <c r="A159" s="1">
        <v>1158</v>
      </c>
      <c r="B159" s="1">
        <v>115</v>
      </c>
      <c r="C159" s="1" t="s">
        <v>37</v>
      </c>
      <c r="D159" s="1" t="s">
        <v>36</v>
      </c>
      <c r="E159" s="1">
        <v>5</v>
      </c>
      <c r="F159" s="2">
        <v>45618</v>
      </c>
      <c r="G159" s="1">
        <v>45111</v>
      </c>
      <c r="H159" s="1">
        <v>225555</v>
      </c>
      <c r="I159" s="1">
        <v>36418.352495999003</v>
      </c>
    </row>
    <row r="160" spans="1:9">
      <c r="A160" s="1">
        <v>1159</v>
      </c>
      <c r="B160" s="1">
        <v>109</v>
      </c>
      <c r="C160" s="1" t="s">
        <v>44</v>
      </c>
      <c r="D160" s="1" t="s">
        <v>39</v>
      </c>
      <c r="E160" s="1">
        <v>7</v>
      </c>
      <c r="F160" s="2">
        <v>45208</v>
      </c>
      <c r="G160" s="1">
        <v>23978</v>
      </c>
      <c r="H160" s="1">
        <v>167846</v>
      </c>
      <c r="I160" s="1">
        <v>37283.0283349776</v>
      </c>
    </row>
    <row r="161" spans="1:9">
      <c r="A161" s="1">
        <v>1160</v>
      </c>
      <c r="B161" s="1">
        <v>120</v>
      </c>
      <c r="C161" s="1" t="s">
        <v>44</v>
      </c>
      <c r="D161" s="1" t="s">
        <v>38</v>
      </c>
      <c r="E161" s="1">
        <v>8</v>
      </c>
      <c r="F161" s="2">
        <v>45246</v>
      </c>
      <c r="G161" s="1">
        <v>39145</v>
      </c>
      <c r="H161" s="1">
        <v>313160</v>
      </c>
      <c r="I161" s="1">
        <v>49170.486636252899</v>
      </c>
    </row>
    <row r="162" spans="1:9">
      <c r="A162" s="1">
        <v>1161</v>
      </c>
      <c r="B162" s="1">
        <v>117</v>
      </c>
      <c r="C162" s="1" t="s">
        <v>41</v>
      </c>
      <c r="D162" s="1" t="s">
        <v>39</v>
      </c>
      <c r="E162" s="1">
        <v>1</v>
      </c>
      <c r="F162" s="2">
        <v>45369</v>
      </c>
      <c r="G162" s="1">
        <v>3922</v>
      </c>
      <c r="H162" s="1">
        <v>3922</v>
      </c>
      <c r="I162" s="1">
        <v>340.792676340951</v>
      </c>
    </row>
    <row r="163" spans="1:9">
      <c r="A163" s="1">
        <v>1162</v>
      </c>
      <c r="B163" s="1">
        <v>117</v>
      </c>
      <c r="C163" s="1" t="s">
        <v>37</v>
      </c>
      <c r="D163" s="1" t="s">
        <v>40</v>
      </c>
      <c r="E163" s="1">
        <v>6</v>
      </c>
      <c r="F163" s="2">
        <v>45241</v>
      </c>
      <c r="G163" s="1">
        <v>3922</v>
      </c>
      <c r="H163" s="1">
        <v>23532</v>
      </c>
      <c r="I163" s="1">
        <v>2586.6181991377498</v>
      </c>
    </row>
    <row r="164" spans="1:9">
      <c r="A164" s="1">
        <v>1163</v>
      </c>
      <c r="B164" s="1">
        <v>120</v>
      </c>
      <c r="C164" s="1" t="s">
        <v>44</v>
      </c>
      <c r="D164" s="1" t="s">
        <v>40</v>
      </c>
      <c r="E164" s="1">
        <v>1</v>
      </c>
      <c r="F164" s="2">
        <v>45303</v>
      </c>
      <c r="G164" s="1">
        <v>39145</v>
      </c>
      <c r="H164" s="1">
        <v>39145</v>
      </c>
      <c r="I164" s="1">
        <v>4383.7461957569503</v>
      </c>
    </row>
    <row r="165" spans="1:9">
      <c r="A165" s="1">
        <v>1164</v>
      </c>
      <c r="B165" s="1">
        <v>112</v>
      </c>
      <c r="C165" s="1" t="s">
        <v>41</v>
      </c>
      <c r="D165" s="1" t="s">
        <v>42</v>
      </c>
      <c r="E165" s="1">
        <v>2</v>
      </c>
      <c r="F165" s="2">
        <v>45215</v>
      </c>
      <c r="G165" s="1">
        <v>34365</v>
      </c>
      <c r="H165" s="1">
        <v>68730</v>
      </c>
      <c r="I165" s="1">
        <v>8898.0348150801401</v>
      </c>
    </row>
    <row r="166" spans="1:9">
      <c r="A166" s="1">
        <v>1165</v>
      </c>
      <c r="B166" s="1">
        <v>107</v>
      </c>
      <c r="C166" s="1" t="s">
        <v>37</v>
      </c>
      <c r="D166" s="1" t="s">
        <v>39</v>
      </c>
      <c r="E166" s="1">
        <v>1</v>
      </c>
      <c r="F166" s="2">
        <v>45363</v>
      </c>
      <c r="G166" s="1">
        <v>39276</v>
      </c>
      <c r="H166" s="1">
        <v>39276</v>
      </c>
      <c r="I166" s="1">
        <v>5316.31220920124</v>
      </c>
    </row>
    <row r="167" spans="1:9">
      <c r="A167" s="1">
        <v>1166</v>
      </c>
      <c r="B167" s="1">
        <v>102</v>
      </c>
      <c r="C167" s="1" t="s">
        <v>41</v>
      </c>
      <c r="D167" s="1" t="s">
        <v>39</v>
      </c>
      <c r="E167" s="1">
        <v>5</v>
      </c>
      <c r="F167" s="2">
        <v>45588</v>
      </c>
      <c r="G167" s="1">
        <v>20365</v>
      </c>
      <c r="H167" s="1">
        <v>101825</v>
      </c>
      <c r="I167" s="1">
        <v>21378.8108795425</v>
      </c>
    </row>
    <row r="168" spans="1:9">
      <c r="A168" s="1">
        <v>1167</v>
      </c>
      <c r="B168" s="1">
        <v>103</v>
      </c>
      <c r="C168" s="1" t="s">
        <v>35</v>
      </c>
      <c r="D168" s="1" t="s">
        <v>39</v>
      </c>
      <c r="E168" s="1">
        <v>9</v>
      </c>
      <c r="F168" s="2">
        <v>45203</v>
      </c>
      <c r="G168" s="1">
        <v>21175</v>
      </c>
      <c r="H168" s="1">
        <v>190575</v>
      </c>
      <c r="I168" s="1">
        <v>22845.6354687653</v>
      </c>
    </row>
    <row r="169" spans="1:9">
      <c r="A169" s="1">
        <v>1168</v>
      </c>
      <c r="B169" s="1">
        <v>117</v>
      </c>
      <c r="C169" s="1" t="s">
        <v>44</v>
      </c>
      <c r="D169" s="1" t="s">
        <v>43</v>
      </c>
      <c r="E169" s="1">
        <v>6</v>
      </c>
      <c r="F169" s="2">
        <v>45636</v>
      </c>
      <c r="G169" s="1">
        <v>3922</v>
      </c>
      <c r="H169" s="1">
        <v>23532</v>
      </c>
      <c r="I169" s="1">
        <v>3380.28627737651</v>
      </c>
    </row>
    <row r="170" spans="1:9">
      <c r="A170" s="1">
        <v>1169</v>
      </c>
      <c r="B170" s="1">
        <v>105</v>
      </c>
      <c r="C170" s="1" t="s">
        <v>35</v>
      </c>
      <c r="D170" s="1" t="s">
        <v>36</v>
      </c>
      <c r="E170" s="1">
        <v>1</v>
      </c>
      <c r="F170" s="2">
        <v>45508</v>
      </c>
      <c r="G170" s="1">
        <v>18639</v>
      </c>
      <c r="H170" s="1">
        <v>18639</v>
      </c>
      <c r="I170" s="1">
        <v>3261.7354845289101</v>
      </c>
    </row>
    <row r="171" spans="1:9">
      <c r="A171" s="1">
        <v>1170</v>
      </c>
      <c r="B171" s="1">
        <v>117</v>
      </c>
      <c r="C171" s="1" t="s">
        <v>37</v>
      </c>
      <c r="D171" s="1" t="s">
        <v>38</v>
      </c>
      <c r="E171" s="1">
        <v>1</v>
      </c>
      <c r="F171" s="2">
        <v>45429</v>
      </c>
      <c r="G171" s="1">
        <v>3922</v>
      </c>
      <c r="H171" s="1">
        <v>3922</v>
      </c>
      <c r="I171" s="1">
        <v>492.38823317206902</v>
      </c>
    </row>
    <row r="172" spans="1:9">
      <c r="A172" s="1">
        <v>1171</v>
      </c>
      <c r="B172" s="1">
        <v>117</v>
      </c>
      <c r="C172" s="1" t="s">
        <v>35</v>
      </c>
      <c r="D172" s="1" t="s">
        <v>42</v>
      </c>
      <c r="E172" s="1">
        <v>2</v>
      </c>
      <c r="F172" s="2">
        <v>45550</v>
      </c>
      <c r="G172" s="1">
        <v>3922</v>
      </c>
      <c r="H172" s="1">
        <v>7844</v>
      </c>
      <c r="I172" s="1">
        <v>1704.60287909301</v>
      </c>
    </row>
    <row r="173" spans="1:9">
      <c r="A173" s="1">
        <v>1172</v>
      </c>
      <c r="B173" s="1">
        <v>117</v>
      </c>
      <c r="C173" s="1" t="s">
        <v>35</v>
      </c>
      <c r="D173" s="1" t="s">
        <v>39</v>
      </c>
      <c r="E173" s="1">
        <v>9</v>
      </c>
      <c r="F173" s="2">
        <v>45442</v>
      </c>
      <c r="G173" s="1">
        <v>3922</v>
      </c>
      <c r="H173" s="1">
        <v>35298</v>
      </c>
      <c r="I173" s="1">
        <v>5912.0874644508704</v>
      </c>
    </row>
    <row r="174" spans="1:9">
      <c r="A174" s="1">
        <v>1173</v>
      </c>
      <c r="B174" s="1">
        <v>102</v>
      </c>
      <c r="C174" s="1" t="s">
        <v>37</v>
      </c>
      <c r="D174" s="1" t="s">
        <v>39</v>
      </c>
      <c r="E174" s="1">
        <v>3</v>
      </c>
      <c r="F174" s="2">
        <v>45276</v>
      </c>
      <c r="G174" s="1">
        <v>20365</v>
      </c>
      <c r="H174" s="1">
        <v>61095</v>
      </c>
      <c r="I174" s="1">
        <v>6647.6819354010504</v>
      </c>
    </row>
    <row r="175" spans="1:9">
      <c r="A175" s="1">
        <v>1174</v>
      </c>
      <c r="B175" s="1">
        <v>102</v>
      </c>
      <c r="C175" s="1" t="s">
        <v>41</v>
      </c>
      <c r="D175" s="1" t="s">
        <v>46</v>
      </c>
      <c r="E175" s="1">
        <v>1</v>
      </c>
      <c r="F175" s="2">
        <v>45372</v>
      </c>
      <c r="G175" s="1">
        <v>20365</v>
      </c>
      <c r="H175" s="1">
        <v>20365</v>
      </c>
      <c r="I175" s="1">
        <v>3926.6131207439698</v>
      </c>
    </row>
    <row r="176" spans="1:9">
      <c r="A176" s="1">
        <v>1175</v>
      </c>
      <c r="B176" s="1">
        <v>105</v>
      </c>
      <c r="C176" s="1" t="s">
        <v>35</v>
      </c>
      <c r="D176" s="1" t="s">
        <v>42</v>
      </c>
      <c r="E176" s="1">
        <v>5</v>
      </c>
      <c r="F176" s="2">
        <v>45276</v>
      </c>
      <c r="G176" s="1">
        <v>18639</v>
      </c>
      <c r="H176" s="1">
        <v>93195</v>
      </c>
      <c r="I176" s="1">
        <v>14494.576042168699</v>
      </c>
    </row>
    <row r="177" spans="1:9">
      <c r="A177" s="1">
        <v>1176</v>
      </c>
      <c r="B177" s="1">
        <v>101</v>
      </c>
      <c r="C177" s="1" t="s">
        <v>41</v>
      </c>
      <c r="D177" s="1" t="s">
        <v>39</v>
      </c>
      <c r="E177" s="1">
        <v>7</v>
      </c>
      <c r="F177" s="2">
        <v>45533</v>
      </c>
      <c r="G177" s="1">
        <v>36970</v>
      </c>
      <c r="H177" s="1">
        <v>258790</v>
      </c>
      <c r="I177" s="1">
        <v>40601.8680196926</v>
      </c>
    </row>
    <row r="178" spans="1:9">
      <c r="A178" s="1">
        <v>1177</v>
      </c>
      <c r="B178" s="1">
        <v>101</v>
      </c>
      <c r="C178" s="1" t="s">
        <v>35</v>
      </c>
      <c r="D178" s="1" t="s">
        <v>42</v>
      </c>
      <c r="E178" s="1">
        <v>6</v>
      </c>
      <c r="F178" s="2">
        <v>45590</v>
      </c>
      <c r="G178" s="1">
        <v>36970</v>
      </c>
      <c r="H178" s="1">
        <v>221820</v>
      </c>
      <c r="I178" s="1">
        <v>32433.985742266901</v>
      </c>
    </row>
    <row r="179" spans="1:9">
      <c r="A179" s="1">
        <v>1178</v>
      </c>
      <c r="B179" s="1">
        <v>119</v>
      </c>
      <c r="C179" s="1" t="s">
        <v>41</v>
      </c>
      <c r="D179" s="1" t="s">
        <v>36</v>
      </c>
      <c r="E179" s="1">
        <v>1</v>
      </c>
      <c r="F179" s="2">
        <v>45063</v>
      </c>
      <c r="G179" s="1">
        <v>18864</v>
      </c>
      <c r="H179" s="1">
        <v>18864</v>
      </c>
      <c r="I179" s="1">
        <v>2818.3266805128101</v>
      </c>
    </row>
    <row r="180" spans="1:9">
      <c r="A180" s="1">
        <v>1179</v>
      </c>
      <c r="B180" s="1">
        <v>102</v>
      </c>
      <c r="C180" s="1" t="s">
        <v>37</v>
      </c>
      <c r="D180" s="1" t="s">
        <v>46</v>
      </c>
      <c r="E180" s="1">
        <v>5</v>
      </c>
      <c r="F180" s="2">
        <v>45169</v>
      </c>
      <c r="G180" s="1">
        <v>20365</v>
      </c>
      <c r="H180" s="1">
        <v>101825</v>
      </c>
      <c r="I180" s="1">
        <v>20677.730663914001</v>
      </c>
    </row>
    <row r="181" spans="1:9">
      <c r="A181" s="1">
        <v>1180</v>
      </c>
      <c r="B181" s="1">
        <v>112</v>
      </c>
      <c r="C181" s="1" t="s">
        <v>35</v>
      </c>
      <c r="D181" s="1" t="s">
        <v>42</v>
      </c>
      <c r="E181" s="1">
        <v>5</v>
      </c>
      <c r="F181" s="2">
        <v>45469</v>
      </c>
      <c r="G181" s="1">
        <v>34365</v>
      </c>
      <c r="H181" s="1">
        <v>171825</v>
      </c>
      <c r="I181" s="1">
        <v>12130.2085372207</v>
      </c>
    </row>
    <row r="182" spans="1:9">
      <c r="A182" s="1">
        <v>1181</v>
      </c>
      <c r="B182" s="1">
        <v>106</v>
      </c>
      <c r="C182" s="1" t="s">
        <v>37</v>
      </c>
      <c r="D182" s="1" t="s">
        <v>38</v>
      </c>
      <c r="E182" s="1">
        <v>6</v>
      </c>
      <c r="F182" s="2">
        <v>44966</v>
      </c>
      <c r="G182" s="1">
        <v>20269</v>
      </c>
      <c r="H182" s="1">
        <v>121614</v>
      </c>
      <c r="I182" s="1">
        <v>14213.339786942601</v>
      </c>
    </row>
    <row r="183" spans="1:9">
      <c r="A183" s="1">
        <v>1182</v>
      </c>
      <c r="B183" s="1">
        <v>104</v>
      </c>
      <c r="C183" s="1" t="s">
        <v>35</v>
      </c>
      <c r="D183" s="1" t="s">
        <v>38</v>
      </c>
      <c r="E183" s="1">
        <v>3</v>
      </c>
      <c r="F183" s="2">
        <v>45155</v>
      </c>
      <c r="G183" s="1">
        <v>42430</v>
      </c>
      <c r="H183" s="1">
        <v>127290</v>
      </c>
      <c r="I183" s="1">
        <v>8286.6646357194095</v>
      </c>
    </row>
    <row r="184" spans="1:9">
      <c r="A184" s="1">
        <v>1183</v>
      </c>
      <c r="B184" s="1">
        <v>111</v>
      </c>
      <c r="C184" s="1" t="s">
        <v>37</v>
      </c>
      <c r="D184" s="1" t="s">
        <v>40</v>
      </c>
      <c r="E184" s="1">
        <v>5</v>
      </c>
      <c r="F184" s="2">
        <v>45474</v>
      </c>
      <c r="G184" s="1">
        <v>14664</v>
      </c>
      <c r="H184" s="1">
        <v>73320</v>
      </c>
      <c r="I184" s="1">
        <v>14711.602581040601</v>
      </c>
    </row>
    <row r="185" spans="1:9">
      <c r="A185" s="1">
        <v>1184</v>
      </c>
      <c r="B185" s="1">
        <v>117</v>
      </c>
      <c r="C185" s="1" t="s">
        <v>37</v>
      </c>
      <c r="D185" s="1" t="s">
        <v>46</v>
      </c>
      <c r="E185" s="1">
        <v>7</v>
      </c>
      <c r="F185" s="2">
        <v>45149</v>
      </c>
      <c r="G185" s="1">
        <v>3922</v>
      </c>
      <c r="H185" s="1">
        <v>27454</v>
      </c>
      <c r="I185" s="1">
        <v>2867.8550238982202</v>
      </c>
    </row>
    <row r="186" spans="1:9">
      <c r="A186" s="1">
        <v>1185</v>
      </c>
      <c r="B186" s="1">
        <v>106</v>
      </c>
      <c r="C186" s="1" t="s">
        <v>35</v>
      </c>
      <c r="D186" s="1" t="s">
        <v>46</v>
      </c>
      <c r="E186" s="1">
        <v>5</v>
      </c>
      <c r="F186" s="2">
        <v>44932</v>
      </c>
      <c r="G186" s="1">
        <v>20269</v>
      </c>
      <c r="H186" s="1">
        <v>101345</v>
      </c>
      <c r="I186" s="1">
        <v>23257.266976619001</v>
      </c>
    </row>
    <row r="187" spans="1:9">
      <c r="A187" s="1">
        <v>1186</v>
      </c>
      <c r="B187" s="1">
        <v>105</v>
      </c>
      <c r="C187" s="1" t="s">
        <v>35</v>
      </c>
      <c r="D187" s="1" t="s">
        <v>40</v>
      </c>
      <c r="E187" s="1">
        <v>5</v>
      </c>
      <c r="F187" s="2">
        <v>45248</v>
      </c>
      <c r="G187" s="1">
        <v>18639</v>
      </c>
      <c r="H187" s="1">
        <v>93195</v>
      </c>
      <c r="I187" s="1">
        <v>14474.6460400626</v>
      </c>
    </row>
    <row r="188" spans="1:9">
      <c r="A188" s="1">
        <v>1187</v>
      </c>
      <c r="B188" s="1">
        <v>120</v>
      </c>
      <c r="C188" s="1" t="s">
        <v>35</v>
      </c>
      <c r="D188" s="1" t="s">
        <v>42</v>
      </c>
      <c r="E188" s="1">
        <v>5</v>
      </c>
      <c r="F188" s="2">
        <v>45394</v>
      </c>
      <c r="G188" s="1">
        <v>39145</v>
      </c>
      <c r="H188" s="1">
        <v>195725</v>
      </c>
      <c r="I188" s="1">
        <v>41131.599804824204</v>
      </c>
    </row>
    <row r="189" spans="1:9">
      <c r="A189" s="1">
        <v>1188</v>
      </c>
      <c r="B189" s="1">
        <v>102</v>
      </c>
      <c r="C189" s="1" t="s">
        <v>44</v>
      </c>
      <c r="D189" s="1" t="s">
        <v>46</v>
      </c>
      <c r="E189" s="1">
        <v>3</v>
      </c>
      <c r="F189" s="2">
        <v>45001</v>
      </c>
      <c r="G189" s="1">
        <v>20365</v>
      </c>
      <c r="H189" s="1">
        <v>61095</v>
      </c>
      <c r="I189" s="1">
        <v>15016.313211791399</v>
      </c>
    </row>
    <row r="190" spans="1:9">
      <c r="A190" s="1">
        <v>1189</v>
      </c>
      <c r="B190" s="1">
        <v>106</v>
      </c>
      <c r="C190" s="1" t="s">
        <v>41</v>
      </c>
      <c r="D190" s="1" t="s">
        <v>38</v>
      </c>
      <c r="E190" s="1">
        <v>1</v>
      </c>
      <c r="F190" s="2">
        <v>44930</v>
      </c>
      <c r="G190" s="1">
        <v>20269</v>
      </c>
      <c r="H190" s="1">
        <v>20269</v>
      </c>
      <c r="I190" s="1">
        <v>4417.7860784650502</v>
      </c>
    </row>
    <row r="191" spans="1:9">
      <c r="A191" s="1">
        <v>1190</v>
      </c>
      <c r="B191" s="1">
        <v>111</v>
      </c>
      <c r="C191" s="1" t="s">
        <v>44</v>
      </c>
      <c r="D191" s="1" t="s">
        <v>38</v>
      </c>
      <c r="E191" s="1">
        <v>5</v>
      </c>
      <c r="F191" s="2">
        <v>45572</v>
      </c>
      <c r="G191" s="1">
        <v>14664</v>
      </c>
      <c r="H191" s="1">
        <v>73320</v>
      </c>
      <c r="I191" s="1">
        <v>16379.596496808999</v>
      </c>
    </row>
    <row r="192" spans="1:9">
      <c r="A192" s="1">
        <v>1191</v>
      </c>
      <c r="B192" s="1">
        <v>116</v>
      </c>
      <c r="C192" s="1" t="s">
        <v>44</v>
      </c>
      <c r="D192" s="1" t="s">
        <v>39</v>
      </c>
      <c r="E192" s="1">
        <v>9</v>
      </c>
      <c r="F192" s="2">
        <v>45044</v>
      </c>
      <c r="G192" s="1">
        <v>26393</v>
      </c>
      <c r="H192" s="1">
        <v>237537</v>
      </c>
      <c r="I192" s="1">
        <v>31259.132615095801</v>
      </c>
    </row>
    <row r="193" spans="1:9">
      <c r="A193" s="1">
        <v>1192</v>
      </c>
      <c r="B193" s="1">
        <v>116</v>
      </c>
      <c r="C193" s="1" t="s">
        <v>37</v>
      </c>
      <c r="D193" s="1" t="s">
        <v>36</v>
      </c>
      <c r="E193" s="1">
        <v>1</v>
      </c>
      <c r="F193" s="2">
        <v>45532</v>
      </c>
      <c r="G193" s="1">
        <v>26393</v>
      </c>
      <c r="H193" s="1">
        <v>26393</v>
      </c>
      <c r="I193" s="1">
        <v>4231.9728913359504</v>
      </c>
    </row>
    <row r="194" spans="1:9">
      <c r="A194" s="1">
        <v>1193</v>
      </c>
      <c r="B194" s="1">
        <v>101</v>
      </c>
      <c r="C194" s="1" t="s">
        <v>35</v>
      </c>
      <c r="D194" s="1" t="s">
        <v>46</v>
      </c>
      <c r="E194" s="1">
        <v>3</v>
      </c>
      <c r="F194" s="2">
        <v>45430</v>
      </c>
      <c r="G194" s="1">
        <v>36970</v>
      </c>
      <c r="H194" s="1">
        <v>110910</v>
      </c>
      <c r="I194" s="1">
        <v>11177.2561276086</v>
      </c>
    </row>
    <row r="195" spans="1:9">
      <c r="A195" s="1">
        <v>1194</v>
      </c>
      <c r="B195" s="1">
        <v>109</v>
      </c>
      <c r="C195" s="1" t="s">
        <v>41</v>
      </c>
      <c r="D195" s="1" t="s">
        <v>42</v>
      </c>
      <c r="E195" s="1">
        <v>4</v>
      </c>
      <c r="F195" s="2">
        <v>45500</v>
      </c>
      <c r="G195" s="1">
        <v>23978</v>
      </c>
      <c r="H195" s="1">
        <v>95912</v>
      </c>
      <c r="I195" s="1">
        <v>8557.5199235596901</v>
      </c>
    </row>
    <row r="196" spans="1:9">
      <c r="A196" s="1">
        <v>1195</v>
      </c>
      <c r="B196" s="1">
        <v>106</v>
      </c>
      <c r="C196" s="1" t="s">
        <v>37</v>
      </c>
      <c r="D196" s="1" t="s">
        <v>40</v>
      </c>
      <c r="E196" s="1">
        <v>1</v>
      </c>
      <c r="F196" s="2">
        <v>45367</v>
      </c>
      <c r="G196" s="1">
        <v>20269</v>
      </c>
      <c r="H196" s="1">
        <v>20269</v>
      </c>
      <c r="I196" s="1">
        <v>3062.6778403200401</v>
      </c>
    </row>
    <row r="197" spans="1:9">
      <c r="A197" s="1">
        <v>1196</v>
      </c>
      <c r="B197" s="1">
        <v>116</v>
      </c>
      <c r="C197" s="1" t="s">
        <v>44</v>
      </c>
      <c r="D197" s="1" t="s">
        <v>40</v>
      </c>
      <c r="E197" s="1">
        <v>1</v>
      </c>
      <c r="F197" s="2">
        <v>45120</v>
      </c>
      <c r="G197" s="1">
        <v>26393</v>
      </c>
      <c r="H197" s="1">
        <v>26393</v>
      </c>
      <c r="I197" s="1">
        <v>4460.6755442466401</v>
      </c>
    </row>
    <row r="198" spans="1:9">
      <c r="A198" s="1">
        <v>1197</v>
      </c>
      <c r="B198" s="1">
        <v>103</v>
      </c>
      <c r="C198" s="1" t="s">
        <v>35</v>
      </c>
      <c r="D198" s="1" t="s">
        <v>42</v>
      </c>
      <c r="E198" s="1">
        <v>8</v>
      </c>
      <c r="F198" s="2">
        <v>45641</v>
      </c>
      <c r="G198" s="1">
        <v>21175</v>
      </c>
      <c r="H198" s="1">
        <v>169400</v>
      </c>
      <c r="I198" s="1">
        <v>19964.509810963002</v>
      </c>
    </row>
    <row r="199" spans="1:9">
      <c r="A199" s="1">
        <v>1198</v>
      </c>
      <c r="B199" s="1">
        <v>120</v>
      </c>
      <c r="C199" s="1" t="s">
        <v>37</v>
      </c>
      <c r="D199" s="1" t="s">
        <v>43</v>
      </c>
      <c r="E199" s="1">
        <v>2</v>
      </c>
      <c r="F199" s="2">
        <v>45318</v>
      </c>
      <c r="G199" s="1">
        <v>39145</v>
      </c>
      <c r="H199" s="1">
        <v>78290</v>
      </c>
      <c r="I199" s="1">
        <v>12830.8466011409</v>
      </c>
    </row>
    <row r="200" spans="1:9">
      <c r="A200" s="1">
        <v>1199</v>
      </c>
      <c r="B200" s="1">
        <v>104</v>
      </c>
      <c r="C200" s="1" t="s">
        <v>35</v>
      </c>
      <c r="D200" s="1" t="s">
        <v>45</v>
      </c>
      <c r="E200" s="1">
        <v>8</v>
      </c>
      <c r="F200" s="2">
        <v>44952</v>
      </c>
      <c r="G200" s="1">
        <v>42430</v>
      </c>
      <c r="H200" s="1">
        <v>339440</v>
      </c>
      <c r="I200" s="1">
        <v>77219.917236876703</v>
      </c>
    </row>
    <row r="201" spans="1:9">
      <c r="A201" s="1">
        <v>1200</v>
      </c>
      <c r="B201" s="1">
        <v>119</v>
      </c>
      <c r="C201" s="1" t="s">
        <v>37</v>
      </c>
      <c r="D201" s="1" t="s">
        <v>36</v>
      </c>
      <c r="E201" s="1">
        <v>7</v>
      </c>
      <c r="F201" s="2">
        <v>45361</v>
      </c>
      <c r="G201" s="1">
        <v>18864</v>
      </c>
      <c r="H201" s="1">
        <v>132048</v>
      </c>
      <c r="I201" s="1">
        <v>21305.194365494801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D8E4-6ADC-46F2-8E43-7A10EB246073}">
  <dimension ref="A1:I201"/>
  <sheetViews>
    <sheetView workbookViewId="0">
      <selection activeCell="K23" sqref="K23"/>
    </sheetView>
  </sheetViews>
  <sheetFormatPr defaultRowHeight="14.4"/>
  <cols>
    <col min="1" max="1" width="12.5546875" bestFit="1" customWidth="1"/>
    <col min="2" max="2" width="14.33203125" bestFit="1" customWidth="1"/>
    <col min="3" max="3" width="11.6640625" bestFit="1" customWidth="1"/>
    <col min="4" max="4" width="14.109375" bestFit="1" customWidth="1"/>
    <col min="5" max="5" width="13.33203125" bestFit="1" customWidth="1"/>
    <col min="6" max="6" width="18.33203125" bestFit="1" customWidth="1"/>
    <col min="7" max="7" width="13.88671875" bestFit="1" customWidth="1"/>
    <col min="8" max="8" width="10.109375" bestFit="1" customWidth="1"/>
    <col min="9" max="9" width="12" bestFit="1" customWidth="1"/>
  </cols>
  <sheetData>
    <row r="1" spans="1:9">
      <c r="A1" s="3" t="s">
        <v>28</v>
      </c>
      <c r="B1" s="3" t="s">
        <v>0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</v>
      </c>
      <c r="H1" s="3" t="s">
        <v>33</v>
      </c>
      <c r="I1" s="3" t="s">
        <v>34</v>
      </c>
    </row>
    <row r="2" spans="1:9">
      <c r="A2" s="1">
        <v>1001</v>
      </c>
      <c r="B2" s="1">
        <v>107</v>
      </c>
      <c r="C2" s="1" t="s">
        <v>35</v>
      </c>
      <c r="D2" s="1" t="s">
        <v>36</v>
      </c>
      <c r="E2" s="1">
        <v>3</v>
      </c>
      <c r="F2" s="2">
        <v>45080</v>
      </c>
      <c r="G2" s="1">
        <v>39276</v>
      </c>
      <c r="H2" s="1">
        <v>117828</v>
      </c>
      <c r="I2" s="1">
        <v>25653.101145362602</v>
      </c>
    </row>
    <row r="3" spans="1:9">
      <c r="A3" s="1">
        <v>1002</v>
      </c>
      <c r="B3" s="1">
        <v>120</v>
      </c>
      <c r="C3" s="1" t="s">
        <v>37</v>
      </c>
      <c r="D3" s="1" t="s">
        <v>38</v>
      </c>
      <c r="E3" s="1">
        <v>2</v>
      </c>
      <c r="F3" s="2">
        <v>45176</v>
      </c>
      <c r="G3" s="1">
        <v>39145</v>
      </c>
      <c r="H3" s="1">
        <v>78290</v>
      </c>
      <c r="I3" s="1">
        <v>7125.6044368202301</v>
      </c>
    </row>
    <row r="4" spans="1:9">
      <c r="A4" s="1">
        <v>1003</v>
      </c>
      <c r="B4" s="1">
        <v>115</v>
      </c>
      <c r="C4" s="1" t="s">
        <v>37</v>
      </c>
      <c r="D4" s="1" t="s">
        <v>39</v>
      </c>
      <c r="E4" s="1">
        <v>3</v>
      </c>
      <c r="F4" s="2">
        <v>45600</v>
      </c>
      <c r="G4" s="1">
        <v>45111</v>
      </c>
      <c r="H4" s="1">
        <v>135333</v>
      </c>
      <c r="I4" s="1">
        <v>32966.9582004435</v>
      </c>
    </row>
    <row r="5" spans="1:9">
      <c r="A5" s="1">
        <v>1004</v>
      </c>
      <c r="B5" s="1">
        <v>111</v>
      </c>
      <c r="C5" s="1" t="s">
        <v>37</v>
      </c>
      <c r="D5" s="1" t="s">
        <v>40</v>
      </c>
      <c r="E5" s="1">
        <v>7</v>
      </c>
      <c r="F5" s="2">
        <v>45364</v>
      </c>
      <c r="G5" s="1">
        <v>14664</v>
      </c>
      <c r="H5" s="1">
        <v>102648</v>
      </c>
      <c r="I5" s="1">
        <v>19727.9700095269</v>
      </c>
    </row>
    <row r="6" spans="1:9">
      <c r="A6" s="1">
        <v>1005</v>
      </c>
      <c r="B6" s="1">
        <v>108</v>
      </c>
      <c r="C6" s="1" t="s">
        <v>41</v>
      </c>
      <c r="D6" s="1" t="s">
        <v>42</v>
      </c>
      <c r="E6" s="1">
        <v>1</v>
      </c>
      <c r="F6" s="2">
        <v>45044</v>
      </c>
      <c r="G6" s="1">
        <v>30446</v>
      </c>
      <c r="H6" s="1">
        <v>30446</v>
      </c>
      <c r="I6" s="1">
        <v>2737.1375819485002</v>
      </c>
    </row>
    <row r="7" spans="1:9">
      <c r="A7" s="1">
        <v>1006</v>
      </c>
      <c r="B7" s="1">
        <v>107</v>
      </c>
      <c r="C7" s="1" t="s">
        <v>41</v>
      </c>
      <c r="D7" s="1" t="s">
        <v>36</v>
      </c>
      <c r="E7" s="1">
        <v>8</v>
      </c>
      <c r="F7" s="2">
        <v>45232</v>
      </c>
      <c r="G7" s="1">
        <v>39276</v>
      </c>
      <c r="H7" s="1">
        <v>314208</v>
      </c>
      <c r="I7" s="1">
        <v>61977.3510191069</v>
      </c>
    </row>
    <row r="8" spans="1:9">
      <c r="A8" s="1">
        <v>1007</v>
      </c>
      <c r="B8" s="1">
        <v>119</v>
      </c>
      <c r="C8" s="1" t="s">
        <v>37</v>
      </c>
      <c r="D8" s="1" t="s">
        <v>43</v>
      </c>
      <c r="E8" s="1">
        <v>2</v>
      </c>
      <c r="F8" s="2">
        <v>45194</v>
      </c>
      <c r="G8" s="1">
        <v>18864</v>
      </c>
      <c r="H8" s="1">
        <v>37728</v>
      </c>
      <c r="I8" s="1">
        <v>5884.3608789154296</v>
      </c>
    </row>
    <row r="9" spans="1:9">
      <c r="A9" s="1">
        <v>1008</v>
      </c>
      <c r="B9" s="1">
        <v>111</v>
      </c>
      <c r="C9" s="1" t="s">
        <v>41</v>
      </c>
      <c r="D9" s="1" t="s">
        <v>38</v>
      </c>
      <c r="E9" s="1">
        <v>3</v>
      </c>
      <c r="F9" s="2">
        <v>44980</v>
      </c>
      <c r="G9" s="1">
        <v>14664</v>
      </c>
      <c r="H9" s="1">
        <v>43992</v>
      </c>
      <c r="I9" s="1">
        <v>8422.0932735180795</v>
      </c>
    </row>
    <row r="10" spans="1:9">
      <c r="A10" s="1">
        <v>1009</v>
      </c>
      <c r="B10" s="1">
        <v>111</v>
      </c>
      <c r="C10" s="1" t="s">
        <v>44</v>
      </c>
      <c r="D10" s="1" t="s">
        <v>42</v>
      </c>
      <c r="E10" s="1">
        <v>9</v>
      </c>
      <c r="F10" s="2">
        <v>45162</v>
      </c>
      <c r="G10" s="1">
        <v>14664</v>
      </c>
      <c r="H10" s="1">
        <v>131976</v>
      </c>
      <c r="I10" s="1">
        <v>26864.493496483999</v>
      </c>
    </row>
    <row r="11" spans="1:9">
      <c r="A11" s="1">
        <v>1010</v>
      </c>
      <c r="B11" s="1">
        <v>104</v>
      </c>
      <c r="C11" s="1" t="s">
        <v>44</v>
      </c>
      <c r="D11" s="1" t="s">
        <v>40</v>
      </c>
      <c r="E11" s="1">
        <v>7</v>
      </c>
      <c r="F11" s="2">
        <v>45315</v>
      </c>
      <c r="G11" s="1">
        <v>42430</v>
      </c>
      <c r="H11" s="1">
        <v>297010</v>
      </c>
      <c r="I11" s="1">
        <v>20035.711247985899</v>
      </c>
    </row>
    <row r="12" spans="1:9">
      <c r="A12" s="1">
        <v>1011</v>
      </c>
      <c r="B12" s="1">
        <v>108</v>
      </c>
      <c r="C12" s="1" t="s">
        <v>41</v>
      </c>
      <c r="D12" s="1" t="s">
        <v>42</v>
      </c>
      <c r="E12" s="1">
        <v>4</v>
      </c>
      <c r="F12" s="2">
        <v>45327</v>
      </c>
      <c r="G12" s="1">
        <v>30446</v>
      </c>
      <c r="H12" s="1">
        <v>121784</v>
      </c>
      <c r="I12" s="1">
        <v>18416.272844253301</v>
      </c>
    </row>
    <row r="13" spans="1:9">
      <c r="A13" s="1">
        <v>1012</v>
      </c>
      <c r="B13" s="1">
        <v>103</v>
      </c>
      <c r="C13" s="1" t="s">
        <v>41</v>
      </c>
      <c r="D13" s="1" t="s">
        <v>38</v>
      </c>
      <c r="E13" s="1">
        <v>5</v>
      </c>
      <c r="F13" s="2">
        <v>45550</v>
      </c>
      <c r="G13" s="1">
        <v>21175</v>
      </c>
      <c r="H13" s="1">
        <v>105875</v>
      </c>
      <c r="I13" s="1">
        <v>25029.1536972906</v>
      </c>
    </row>
    <row r="14" spans="1:9">
      <c r="A14" s="1">
        <v>1013</v>
      </c>
      <c r="B14" s="1">
        <v>102</v>
      </c>
      <c r="C14" s="1" t="s">
        <v>37</v>
      </c>
      <c r="D14" s="1" t="s">
        <v>39</v>
      </c>
      <c r="E14" s="1">
        <v>2</v>
      </c>
      <c r="F14" s="2">
        <v>45229</v>
      </c>
      <c r="G14" s="1">
        <v>20365</v>
      </c>
      <c r="H14" s="1">
        <v>40730</v>
      </c>
      <c r="I14" s="1">
        <v>4648.4512973314004</v>
      </c>
    </row>
    <row r="15" spans="1:9">
      <c r="A15" s="1">
        <v>1014</v>
      </c>
      <c r="B15" s="1">
        <v>112</v>
      </c>
      <c r="C15" s="1" t="s">
        <v>35</v>
      </c>
      <c r="D15" s="1" t="s">
        <v>39</v>
      </c>
      <c r="E15" s="1">
        <v>8</v>
      </c>
      <c r="F15" s="2">
        <v>45133</v>
      </c>
      <c r="G15" s="1">
        <v>34365</v>
      </c>
      <c r="H15" s="1">
        <v>274920</v>
      </c>
      <c r="I15" s="1">
        <v>46400.068236123501</v>
      </c>
    </row>
    <row r="16" spans="1:9">
      <c r="A16" s="1">
        <v>1015</v>
      </c>
      <c r="B16" s="1">
        <v>106</v>
      </c>
      <c r="C16" s="1" t="s">
        <v>41</v>
      </c>
      <c r="D16" s="1" t="s">
        <v>45</v>
      </c>
      <c r="E16" s="1">
        <v>4</v>
      </c>
      <c r="F16" s="2">
        <v>45155</v>
      </c>
      <c r="G16" s="1">
        <v>20269</v>
      </c>
      <c r="H16" s="1">
        <v>81076</v>
      </c>
      <c r="I16" s="1">
        <v>10040.946103779301</v>
      </c>
    </row>
    <row r="17" spans="1:9">
      <c r="A17" s="1">
        <v>1016</v>
      </c>
      <c r="B17" s="1">
        <v>102</v>
      </c>
      <c r="C17" s="1" t="s">
        <v>44</v>
      </c>
      <c r="D17" s="1" t="s">
        <v>39</v>
      </c>
      <c r="E17" s="1">
        <v>9</v>
      </c>
      <c r="F17" s="2">
        <v>45504</v>
      </c>
      <c r="G17" s="1">
        <v>20365</v>
      </c>
      <c r="H17" s="1">
        <v>183285</v>
      </c>
      <c r="I17" s="1">
        <v>25816.3510576355</v>
      </c>
    </row>
    <row r="18" spans="1:9">
      <c r="A18" s="1">
        <v>1017</v>
      </c>
      <c r="B18" s="1">
        <v>101</v>
      </c>
      <c r="C18" s="1" t="s">
        <v>37</v>
      </c>
      <c r="D18" s="1" t="s">
        <v>45</v>
      </c>
      <c r="E18" s="1">
        <v>5</v>
      </c>
      <c r="F18" s="2">
        <v>45001</v>
      </c>
      <c r="G18" s="1">
        <v>36970</v>
      </c>
      <c r="H18" s="1">
        <v>184850</v>
      </c>
      <c r="I18" s="1">
        <v>29524.357270173499</v>
      </c>
    </row>
    <row r="19" spans="1:9">
      <c r="A19" s="1">
        <v>1018</v>
      </c>
      <c r="B19" s="1">
        <v>112</v>
      </c>
      <c r="C19" s="1" t="s">
        <v>41</v>
      </c>
      <c r="D19" s="1" t="s">
        <v>42</v>
      </c>
      <c r="E19" s="1">
        <v>9</v>
      </c>
      <c r="F19" s="2">
        <v>45361</v>
      </c>
      <c r="G19" s="1">
        <v>34365</v>
      </c>
      <c r="H19" s="1">
        <v>309285</v>
      </c>
      <c r="I19" s="1">
        <v>49418.916909992498</v>
      </c>
    </row>
    <row r="20" spans="1:9">
      <c r="A20" s="1">
        <v>1019</v>
      </c>
      <c r="B20" s="1">
        <v>112</v>
      </c>
      <c r="C20" s="1" t="s">
        <v>44</v>
      </c>
      <c r="D20" s="1" t="s">
        <v>46</v>
      </c>
      <c r="E20" s="1">
        <v>4</v>
      </c>
      <c r="F20" s="2">
        <v>45029</v>
      </c>
      <c r="G20" s="1">
        <v>34365</v>
      </c>
      <c r="H20" s="1">
        <v>137460</v>
      </c>
      <c r="I20" s="1">
        <v>12418.973870382801</v>
      </c>
    </row>
    <row r="21" spans="1:9">
      <c r="A21" s="1">
        <v>1020</v>
      </c>
      <c r="B21" s="1">
        <v>117</v>
      </c>
      <c r="C21" s="1" t="s">
        <v>44</v>
      </c>
      <c r="D21" s="1" t="s">
        <v>43</v>
      </c>
      <c r="E21" s="1">
        <v>5</v>
      </c>
      <c r="F21" s="2">
        <v>45348</v>
      </c>
      <c r="G21" s="1">
        <v>3922</v>
      </c>
      <c r="H21" s="1">
        <v>19610</v>
      </c>
      <c r="I21" s="1">
        <v>3665.3896107847099</v>
      </c>
    </row>
    <row r="22" spans="1:9">
      <c r="A22" s="1">
        <v>1021</v>
      </c>
      <c r="B22" s="1">
        <v>110</v>
      </c>
      <c r="C22" s="1" t="s">
        <v>35</v>
      </c>
      <c r="D22" s="1" t="s">
        <v>43</v>
      </c>
      <c r="E22" s="1">
        <v>9</v>
      </c>
      <c r="F22" s="2">
        <v>45630</v>
      </c>
      <c r="G22" s="1">
        <v>35299</v>
      </c>
      <c r="H22" s="1">
        <v>317691</v>
      </c>
      <c r="I22" s="1">
        <v>21467.531625758202</v>
      </c>
    </row>
    <row r="23" spans="1:9">
      <c r="A23" s="1">
        <v>1022</v>
      </c>
      <c r="B23" s="1">
        <v>116</v>
      </c>
      <c r="C23" s="1" t="s">
        <v>37</v>
      </c>
      <c r="D23" s="1" t="s">
        <v>42</v>
      </c>
      <c r="E23" s="1">
        <v>8</v>
      </c>
      <c r="F23" s="2">
        <v>45232</v>
      </c>
      <c r="G23" s="1">
        <v>26393</v>
      </c>
      <c r="H23" s="1">
        <v>211144</v>
      </c>
      <c r="I23" s="1">
        <v>16419.603592728399</v>
      </c>
    </row>
    <row r="24" spans="1:9">
      <c r="A24" s="1">
        <v>1023</v>
      </c>
      <c r="B24" s="1">
        <v>115</v>
      </c>
      <c r="C24" s="1" t="s">
        <v>37</v>
      </c>
      <c r="D24" s="1" t="s">
        <v>36</v>
      </c>
      <c r="E24" s="1">
        <v>3</v>
      </c>
      <c r="F24" s="2">
        <v>45024</v>
      </c>
      <c r="G24" s="1">
        <v>45111</v>
      </c>
      <c r="H24" s="1">
        <v>135333</v>
      </c>
      <c r="I24" s="1">
        <v>6840.0248300879002</v>
      </c>
    </row>
    <row r="25" spans="1:9">
      <c r="A25" s="1">
        <v>1024</v>
      </c>
      <c r="B25" s="1">
        <v>115</v>
      </c>
      <c r="C25" s="1" t="s">
        <v>35</v>
      </c>
      <c r="D25" s="1" t="s">
        <v>36</v>
      </c>
      <c r="E25" s="1">
        <v>1</v>
      </c>
      <c r="F25" s="2">
        <v>45261</v>
      </c>
      <c r="G25" s="1">
        <v>45111</v>
      </c>
      <c r="H25" s="1">
        <v>45111</v>
      </c>
      <c r="I25" s="1">
        <v>3308.40522989908</v>
      </c>
    </row>
    <row r="26" spans="1:9">
      <c r="A26" s="1">
        <v>1025</v>
      </c>
      <c r="B26" s="1">
        <v>119</v>
      </c>
      <c r="C26" s="1" t="s">
        <v>35</v>
      </c>
      <c r="D26" s="1" t="s">
        <v>39</v>
      </c>
      <c r="E26" s="1">
        <v>3</v>
      </c>
      <c r="F26" s="2">
        <v>45361</v>
      </c>
      <c r="G26" s="1">
        <v>18864</v>
      </c>
      <c r="H26" s="1">
        <v>56592</v>
      </c>
      <c r="I26" s="1">
        <v>8185.0843299857397</v>
      </c>
    </row>
    <row r="27" spans="1:9">
      <c r="A27" s="1">
        <v>1026</v>
      </c>
      <c r="B27" s="1">
        <v>112</v>
      </c>
      <c r="C27" s="1" t="s">
        <v>37</v>
      </c>
      <c r="D27" s="1" t="s">
        <v>43</v>
      </c>
      <c r="E27" s="1">
        <v>4</v>
      </c>
      <c r="F27" s="2">
        <v>45373</v>
      </c>
      <c r="G27" s="1">
        <v>34365</v>
      </c>
      <c r="H27" s="1">
        <v>137460</v>
      </c>
      <c r="I27" s="1">
        <v>23535.952913987101</v>
      </c>
    </row>
    <row r="28" spans="1:9">
      <c r="A28" s="1">
        <v>1027</v>
      </c>
      <c r="B28" s="1">
        <v>120</v>
      </c>
      <c r="C28" s="1" t="s">
        <v>37</v>
      </c>
      <c r="D28" s="1" t="s">
        <v>43</v>
      </c>
      <c r="E28" s="1">
        <v>2</v>
      </c>
      <c r="F28" s="2">
        <v>45234</v>
      </c>
      <c r="G28" s="1">
        <v>39145</v>
      </c>
      <c r="H28" s="1">
        <v>78290</v>
      </c>
      <c r="I28" s="1">
        <v>16351.4842075749</v>
      </c>
    </row>
    <row r="29" spans="1:9">
      <c r="A29" s="1">
        <v>1028</v>
      </c>
      <c r="B29" s="1">
        <v>103</v>
      </c>
      <c r="C29" s="1" t="s">
        <v>41</v>
      </c>
      <c r="D29" s="1" t="s">
        <v>45</v>
      </c>
      <c r="E29" s="1">
        <v>1</v>
      </c>
      <c r="F29" s="2">
        <v>45175</v>
      </c>
      <c r="G29" s="1">
        <v>21175</v>
      </c>
      <c r="H29" s="1">
        <v>21175</v>
      </c>
      <c r="I29" s="1">
        <v>1510.6213242304</v>
      </c>
    </row>
    <row r="30" spans="1:9">
      <c r="A30" s="1">
        <v>1029</v>
      </c>
      <c r="B30" s="1">
        <v>105</v>
      </c>
      <c r="C30" s="1" t="s">
        <v>41</v>
      </c>
      <c r="D30" s="1" t="s">
        <v>46</v>
      </c>
      <c r="E30" s="1">
        <v>7</v>
      </c>
      <c r="F30" s="2">
        <v>45092</v>
      </c>
      <c r="G30" s="1">
        <v>18639</v>
      </c>
      <c r="H30" s="1">
        <v>130473</v>
      </c>
      <c r="I30" s="1">
        <v>28723.042778145398</v>
      </c>
    </row>
    <row r="31" spans="1:9">
      <c r="A31" s="1">
        <v>1030</v>
      </c>
      <c r="B31" s="1">
        <v>119</v>
      </c>
      <c r="C31" s="1" t="s">
        <v>35</v>
      </c>
      <c r="D31" s="1" t="s">
        <v>38</v>
      </c>
      <c r="E31" s="1">
        <v>8</v>
      </c>
      <c r="F31" s="2">
        <v>45407</v>
      </c>
      <c r="G31" s="1">
        <v>18864</v>
      </c>
      <c r="H31" s="1">
        <v>150912</v>
      </c>
      <c r="I31" s="1">
        <v>30060.901519921601</v>
      </c>
    </row>
    <row r="32" spans="1:9">
      <c r="A32" s="1">
        <v>1031</v>
      </c>
      <c r="B32" s="1">
        <v>107</v>
      </c>
      <c r="C32" s="1" t="s">
        <v>41</v>
      </c>
      <c r="D32" s="1" t="s">
        <v>36</v>
      </c>
      <c r="E32" s="1">
        <v>7</v>
      </c>
      <c r="F32" s="2">
        <v>45261</v>
      </c>
      <c r="G32" s="1">
        <v>39276</v>
      </c>
      <c r="H32" s="1">
        <v>274932</v>
      </c>
      <c r="I32" s="1">
        <v>36209.550262691497</v>
      </c>
    </row>
    <row r="33" spans="1:9">
      <c r="A33" s="1">
        <v>1032</v>
      </c>
      <c r="B33" s="1">
        <v>109</v>
      </c>
      <c r="C33" s="1" t="s">
        <v>44</v>
      </c>
      <c r="D33" s="1" t="s">
        <v>43</v>
      </c>
      <c r="E33" s="1">
        <v>5</v>
      </c>
      <c r="F33" s="2">
        <v>45468</v>
      </c>
      <c r="G33" s="1">
        <v>23978</v>
      </c>
      <c r="H33" s="1">
        <v>119890</v>
      </c>
      <c r="I33" s="1">
        <v>28364.4889729227</v>
      </c>
    </row>
    <row r="34" spans="1:9">
      <c r="A34" s="1">
        <v>1033</v>
      </c>
      <c r="B34" s="1">
        <v>107</v>
      </c>
      <c r="C34" s="1" t="s">
        <v>41</v>
      </c>
      <c r="D34" s="1" t="s">
        <v>45</v>
      </c>
      <c r="E34" s="1">
        <v>1</v>
      </c>
      <c r="F34" s="2">
        <v>45032</v>
      </c>
      <c r="G34" s="1">
        <v>39276</v>
      </c>
      <c r="H34" s="1">
        <v>39276</v>
      </c>
      <c r="I34" s="1">
        <v>9747.7492234680903</v>
      </c>
    </row>
    <row r="35" spans="1:9">
      <c r="A35" s="1">
        <v>1034</v>
      </c>
      <c r="B35" s="1">
        <v>118</v>
      </c>
      <c r="C35" s="1" t="s">
        <v>41</v>
      </c>
      <c r="D35" s="1" t="s">
        <v>40</v>
      </c>
      <c r="E35" s="1">
        <v>7</v>
      </c>
      <c r="F35" s="2">
        <v>45489</v>
      </c>
      <c r="G35" s="1">
        <v>23357</v>
      </c>
      <c r="H35" s="1">
        <v>163499</v>
      </c>
      <c r="I35" s="1">
        <v>14878.4681883789</v>
      </c>
    </row>
    <row r="36" spans="1:9">
      <c r="A36" s="1">
        <v>1035</v>
      </c>
      <c r="B36" s="1">
        <v>104</v>
      </c>
      <c r="C36" s="1" t="s">
        <v>44</v>
      </c>
      <c r="D36" s="1" t="s">
        <v>45</v>
      </c>
      <c r="E36" s="1">
        <v>7</v>
      </c>
      <c r="F36" s="2">
        <v>45007</v>
      </c>
      <c r="G36" s="1">
        <v>42430</v>
      </c>
      <c r="H36" s="1">
        <v>297010</v>
      </c>
      <c r="I36" s="1">
        <v>37377.436404019703</v>
      </c>
    </row>
    <row r="37" spans="1:9">
      <c r="A37" s="1">
        <v>1036</v>
      </c>
      <c r="B37" s="1">
        <v>114</v>
      </c>
      <c r="C37" s="1" t="s">
        <v>35</v>
      </c>
      <c r="D37" s="1" t="s">
        <v>36</v>
      </c>
      <c r="E37" s="1">
        <v>9</v>
      </c>
      <c r="F37" s="2">
        <v>45059</v>
      </c>
      <c r="G37" s="1">
        <v>4485</v>
      </c>
      <c r="H37" s="1">
        <v>40365</v>
      </c>
      <c r="I37" s="1">
        <v>9497.47619663974</v>
      </c>
    </row>
    <row r="38" spans="1:9">
      <c r="A38" s="1">
        <v>1037</v>
      </c>
      <c r="B38" s="1">
        <v>118</v>
      </c>
      <c r="C38" s="1" t="s">
        <v>44</v>
      </c>
      <c r="D38" s="1" t="s">
        <v>36</v>
      </c>
      <c r="E38" s="1">
        <v>3</v>
      </c>
      <c r="F38" s="2">
        <v>45064</v>
      </c>
      <c r="G38" s="1">
        <v>23357</v>
      </c>
      <c r="H38" s="1">
        <v>70071</v>
      </c>
      <c r="I38" s="1">
        <v>13616.1483815386</v>
      </c>
    </row>
    <row r="39" spans="1:9">
      <c r="A39" s="1">
        <v>1038</v>
      </c>
      <c r="B39" s="1">
        <v>109</v>
      </c>
      <c r="C39" s="1" t="s">
        <v>41</v>
      </c>
      <c r="D39" s="1" t="s">
        <v>45</v>
      </c>
      <c r="E39" s="1">
        <v>9</v>
      </c>
      <c r="F39" s="2">
        <v>45110</v>
      </c>
      <c r="G39" s="1">
        <v>23978</v>
      </c>
      <c r="H39" s="1">
        <v>215802</v>
      </c>
      <c r="I39" s="1">
        <v>12865.8840713476</v>
      </c>
    </row>
    <row r="40" spans="1:9">
      <c r="A40" s="1">
        <v>1039</v>
      </c>
      <c r="B40" s="1">
        <v>102</v>
      </c>
      <c r="C40" s="1" t="s">
        <v>35</v>
      </c>
      <c r="D40" s="1" t="s">
        <v>38</v>
      </c>
      <c r="E40" s="1">
        <v>1</v>
      </c>
      <c r="F40" s="2">
        <v>45327</v>
      </c>
      <c r="G40" s="1">
        <v>20365</v>
      </c>
      <c r="H40" s="1">
        <v>20365</v>
      </c>
      <c r="I40" s="1">
        <v>4201.3584841735101</v>
      </c>
    </row>
    <row r="41" spans="1:9">
      <c r="A41" s="1">
        <v>1040</v>
      </c>
      <c r="B41" s="1">
        <v>120</v>
      </c>
      <c r="C41" s="1" t="s">
        <v>41</v>
      </c>
      <c r="D41" s="1" t="s">
        <v>42</v>
      </c>
      <c r="E41" s="1">
        <v>1</v>
      </c>
      <c r="F41" s="2">
        <v>45256</v>
      </c>
      <c r="G41" s="1">
        <v>39145</v>
      </c>
      <c r="H41" s="1">
        <v>39145</v>
      </c>
      <c r="I41" s="1">
        <v>8439.1992057125808</v>
      </c>
    </row>
    <row r="42" spans="1:9">
      <c r="A42" s="1">
        <v>1041</v>
      </c>
      <c r="B42" s="1">
        <v>115</v>
      </c>
      <c r="C42" s="1" t="s">
        <v>44</v>
      </c>
      <c r="D42" s="1" t="s">
        <v>36</v>
      </c>
      <c r="E42" s="1">
        <v>4</v>
      </c>
      <c r="F42" s="2">
        <v>45434</v>
      </c>
      <c r="G42" s="1">
        <v>45111</v>
      </c>
      <c r="H42" s="1">
        <v>180444</v>
      </c>
      <c r="I42" s="1">
        <v>36106.913862470501</v>
      </c>
    </row>
    <row r="43" spans="1:9">
      <c r="A43" s="1">
        <v>1042</v>
      </c>
      <c r="B43" s="1">
        <v>107</v>
      </c>
      <c r="C43" s="1" t="s">
        <v>44</v>
      </c>
      <c r="D43" s="1" t="s">
        <v>45</v>
      </c>
      <c r="E43" s="1">
        <v>9</v>
      </c>
      <c r="F43" s="2">
        <v>44995</v>
      </c>
      <c r="G43" s="1">
        <v>39276</v>
      </c>
      <c r="H43" s="1">
        <v>353484</v>
      </c>
      <c r="I43" s="1">
        <v>74198.916637190807</v>
      </c>
    </row>
    <row r="44" spans="1:9">
      <c r="A44" s="1">
        <v>1043</v>
      </c>
      <c r="B44" s="1">
        <v>112</v>
      </c>
      <c r="C44" s="1" t="s">
        <v>41</v>
      </c>
      <c r="D44" s="1" t="s">
        <v>43</v>
      </c>
      <c r="E44" s="1">
        <v>6</v>
      </c>
      <c r="F44" s="2">
        <v>45472</v>
      </c>
      <c r="G44" s="1">
        <v>34365</v>
      </c>
      <c r="H44" s="1">
        <v>206190</v>
      </c>
      <c r="I44" s="1">
        <v>44336.321321457603</v>
      </c>
    </row>
    <row r="45" spans="1:9">
      <c r="A45" s="1">
        <v>1044</v>
      </c>
      <c r="B45" s="1">
        <v>108</v>
      </c>
      <c r="C45" s="1" t="s">
        <v>37</v>
      </c>
      <c r="D45" s="1" t="s">
        <v>45</v>
      </c>
      <c r="E45" s="1">
        <v>3</v>
      </c>
      <c r="F45" s="2">
        <v>44979</v>
      </c>
      <c r="G45" s="1">
        <v>30446</v>
      </c>
      <c r="H45" s="1">
        <v>91338</v>
      </c>
      <c r="I45" s="1">
        <v>7972.0717366510999</v>
      </c>
    </row>
    <row r="46" spans="1:9">
      <c r="A46" s="1">
        <v>1045</v>
      </c>
      <c r="B46" s="1">
        <v>115</v>
      </c>
      <c r="C46" s="1" t="s">
        <v>37</v>
      </c>
      <c r="D46" s="1" t="s">
        <v>46</v>
      </c>
      <c r="E46" s="1">
        <v>1</v>
      </c>
      <c r="F46" s="2">
        <v>45376</v>
      </c>
      <c r="G46" s="1">
        <v>45111</v>
      </c>
      <c r="H46" s="1">
        <v>45111</v>
      </c>
      <c r="I46" s="1">
        <v>4382.00807134764</v>
      </c>
    </row>
    <row r="47" spans="1:9">
      <c r="A47" s="1">
        <v>1046</v>
      </c>
      <c r="B47" s="1">
        <v>103</v>
      </c>
      <c r="C47" s="1" t="s">
        <v>44</v>
      </c>
      <c r="D47" s="1" t="s">
        <v>42</v>
      </c>
      <c r="E47" s="1">
        <v>4</v>
      </c>
      <c r="F47" s="2">
        <v>45131</v>
      </c>
      <c r="G47" s="1">
        <v>21175</v>
      </c>
      <c r="H47" s="1">
        <v>84700</v>
      </c>
      <c r="I47" s="1">
        <v>14970.8700694198</v>
      </c>
    </row>
    <row r="48" spans="1:9">
      <c r="A48" s="1">
        <v>1047</v>
      </c>
      <c r="B48" s="1">
        <v>114</v>
      </c>
      <c r="C48" s="1" t="s">
        <v>44</v>
      </c>
      <c r="D48" s="1" t="s">
        <v>40</v>
      </c>
      <c r="E48" s="1">
        <v>9</v>
      </c>
      <c r="F48" s="2">
        <v>45052</v>
      </c>
      <c r="G48" s="1">
        <v>4485</v>
      </c>
      <c r="H48" s="1">
        <v>40365</v>
      </c>
      <c r="I48" s="1">
        <v>9347.4532712238906</v>
      </c>
    </row>
    <row r="49" spans="1:9">
      <c r="A49" s="1">
        <v>1048</v>
      </c>
      <c r="B49" s="1">
        <v>117</v>
      </c>
      <c r="C49" s="1" t="s">
        <v>37</v>
      </c>
      <c r="D49" s="1" t="s">
        <v>38</v>
      </c>
      <c r="E49" s="1">
        <v>3</v>
      </c>
      <c r="F49" s="2">
        <v>44969</v>
      </c>
      <c r="G49" s="1">
        <v>3922</v>
      </c>
      <c r="H49" s="1">
        <v>11766</v>
      </c>
      <c r="I49" s="1">
        <v>1332.3737974601099</v>
      </c>
    </row>
    <row r="50" spans="1:9">
      <c r="A50" s="1">
        <v>1049</v>
      </c>
      <c r="B50" s="1">
        <v>104</v>
      </c>
      <c r="C50" s="1" t="s">
        <v>37</v>
      </c>
      <c r="D50" s="1" t="s">
        <v>39</v>
      </c>
      <c r="E50" s="1">
        <v>9</v>
      </c>
      <c r="F50" s="2">
        <v>45037</v>
      </c>
      <c r="G50" s="1">
        <v>42430</v>
      </c>
      <c r="H50" s="1">
        <v>381870</v>
      </c>
      <c r="I50" s="1">
        <v>64024.834057171603</v>
      </c>
    </row>
    <row r="51" spans="1:9">
      <c r="A51" s="1">
        <v>1050</v>
      </c>
      <c r="B51" s="1">
        <v>118</v>
      </c>
      <c r="C51" s="1" t="s">
        <v>41</v>
      </c>
      <c r="D51" s="1" t="s">
        <v>40</v>
      </c>
      <c r="E51" s="1">
        <v>7</v>
      </c>
      <c r="F51" s="2">
        <v>45589</v>
      </c>
      <c r="G51" s="1">
        <v>23357</v>
      </c>
      <c r="H51" s="1">
        <v>163499</v>
      </c>
      <c r="I51" s="1">
        <v>30508.326877327501</v>
      </c>
    </row>
    <row r="52" spans="1:9">
      <c r="A52" s="1">
        <v>1051</v>
      </c>
      <c r="B52" s="1">
        <v>108</v>
      </c>
      <c r="C52" s="1" t="s">
        <v>41</v>
      </c>
      <c r="D52" s="1" t="s">
        <v>42</v>
      </c>
      <c r="E52" s="1">
        <v>4</v>
      </c>
      <c r="F52" s="2">
        <v>45109</v>
      </c>
      <c r="G52" s="1">
        <v>30446</v>
      </c>
      <c r="H52" s="1">
        <v>121784</v>
      </c>
      <c r="I52" s="1">
        <v>17097.221692120402</v>
      </c>
    </row>
    <row r="53" spans="1:9">
      <c r="A53" s="1">
        <v>1052</v>
      </c>
      <c r="B53" s="1">
        <v>104</v>
      </c>
      <c r="C53" s="1" t="s">
        <v>37</v>
      </c>
      <c r="D53" s="1" t="s">
        <v>42</v>
      </c>
      <c r="E53" s="1">
        <v>3</v>
      </c>
      <c r="F53" s="2">
        <v>45021</v>
      </c>
      <c r="G53" s="1">
        <v>42430</v>
      </c>
      <c r="H53" s="1">
        <v>127290</v>
      </c>
      <c r="I53" s="1">
        <v>24535.973735706899</v>
      </c>
    </row>
    <row r="54" spans="1:9">
      <c r="A54" s="1">
        <v>1053</v>
      </c>
      <c r="B54" s="1">
        <v>102</v>
      </c>
      <c r="C54" s="1" t="s">
        <v>41</v>
      </c>
      <c r="D54" s="1" t="s">
        <v>42</v>
      </c>
      <c r="E54" s="1">
        <v>5</v>
      </c>
      <c r="F54" s="2">
        <v>45300</v>
      </c>
      <c r="G54" s="1">
        <v>20365</v>
      </c>
      <c r="H54" s="1">
        <v>101825</v>
      </c>
      <c r="I54" s="1">
        <v>23412.977523375099</v>
      </c>
    </row>
    <row r="55" spans="1:9">
      <c r="A55" s="1">
        <v>1054</v>
      </c>
      <c r="B55" s="1">
        <v>106</v>
      </c>
      <c r="C55" s="1" t="s">
        <v>41</v>
      </c>
      <c r="D55" s="1" t="s">
        <v>40</v>
      </c>
      <c r="E55" s="1">
        <v>5</v>
      </c>
      <c r="F55" s="2">
        <v>45446</v>
      </c>
      <c r="G55" s="1">
        <v>20269</v>
      </c>
      <c r="H55" s="1">
        <v>101345</v>
      </c>
      <c r="I55" s="1">
        <v>17717.164199021699</v>
      </c>
    </row>
    <row r="56" spans="1:9">
      <c r="A56" s="1">
        <v>1055</v>
      </c>
      <c r="B56" s="1">
        <v>110</v>
      </c>
      <c r="C56" s="1" t="s">
        <v>35</v>
      </c>
      <c r="D56" s="1" t="s">
        <v>43</v>
      </c>
      <c r="E56" s="1">
        <v>3</v>
      </c>
      <c r="F56" s="2">
        <v>45286</v>
      </c>
      <c r="G56" s="1">
        <v>35299</v>
      </c>
      <c r="H56" s="1">
        <v>105897</v>
      </c>
      <c r="I56" s="1">
        <v>16727.089022714801</v>
      </c>
    </row>
    <row r="57" spans="1:9">
      <c r="A57" s="1">
        <v>1056</v>
      </c>
      <c r="B57" s="1">
        <v>104</v>
      </c>
      <c r="C57" s="1" t="s">
        <v>41</v>
      </c>
      <c r="D57" s="1" t="s">
        <v>42</v>
      </c>
      <c r="E57" s="1">
        <v>9</v>
      </c>
      <c r="F57" s="2">
        <v>45622</v>
      </c>
      <c r="G57" s="1">
        <v>42430</v>
      </c>
      <c r="H57" s="1">
        <v>381870</v>
      </c>
      <c r="I57" s="1">
        <v>52602.185838108999</v>
      </c>
    </row>
    <row r="58" spans="1:9">
      <c r="A58" s="1">
        <v>1057</v>
      </c>
      <c r="B58" s="1">
        <v>118</v>
      </c>
      <c r="C58" s="1" t="s">
        <v>44</v>
      </c>
      <c r="D58" s="1" t="s">
        <v>45</v>
      </c>
      <c r="E58" s="1">
        <v>4</v>
      </c>
      <c r="F58" s="2">
        <v>45207</v>
      </c>
      <c r="G58" s="1">
        <v>23357</v>
      </c>
      <c r="H58" s="1">
        <v>93428</v>
      </c>
      <c r="I58" s="1">
        <v>15462.0774636435</v>
      </c>
    </row>
    <row r="59" spans="1:9">
      <c r="A59" s="1">
        <v>1058</v>
      </c>
      <c r="B59" s="1">
        <v>112</v>
      </c>
      <c r="C59" s="1" t="s">
        <v>41</v>
      </c>
      <c r="D59" s="1" t="s">
        <v>40</v>
      </c>
      <c r="E59" s="1">
        <v>5</v>
      </c>
      <c r="F59" s="2">
        <v>45121</v>
      </c>
      <c r="G59" s="1">
        <v>34365</v>
      </c>
      <c r="H59" s="1">
        <v>171825</v>
      </c>
      <c r="I59" s="1">
        <v>20803.2806567392</v>
      </c>
    </row>
    <row r="60" spans="1:9">
      <c r="A60" s="1">
        <v>1059</v>
      </c>
      <c r="B60" s="1">
        <v>102</v>
      </c>
      <c r="C60" s="1" t="s">
        <v>41</v>
      </c>
      <c r="D60" s="1" t="s">
        <v>39</v>
      </c>
      <c r="E60" s="1">
        <v>4</v>
      </c>
      <c r="F60" s="2">
        <v>45121</v>
      </c>
      <c r="G60" s="1">
        <v>20365</v>
      </c>
      <c r="H60" s="1">
        <v>81460</v>
      </c>
      <c r="I60" s="1">
        <v>10451.026539402899</v>
      </c>
    </row>
    <row r="61" spans="1:9">
      <c r="A61" s="1">
        <v>1060</v>
      </c>
      <c r="B61" s="1">
        <v>110</v>
      </c>
      <c r="C61" s="1" t="s">
        <v>37</v>
      </c>
      <c r="D61" s="1" t="s">
        <v>42</v>
      </c>
      <c r="E61" s="1">
        <v>5</v>
      </c>
      <c r="F61" s="2">
        <v>45593</v>
      </c>
      <c r="G61" s="1">
        <v>35299</v>
      </c>
      <c r="H61" s="1">
        <v>176495</v>
      </c>
      <c r="I61" s="1">
        <v>27598.787175512902</v>
      </c>
    </row>
    <row r="62" spans="1:9">
      <c r="A62" s="1">
        <v>1061</v>
      </c>
      <c r="B62" s="1">
        <v>104</v>
      </c>
      <c r="C62" s="1" t="s">
        <v>44</v>
      </c>
      <c r="D62" s="1" t="s">
        <v>45</v>
      </c>
      <c r="E62" s="1">
        <v>7</v>
      </c>
      <c r="F62" s="2">
        <v>45019</v>
      </c>
      <c r="G62" s="1">
        <v>42430</v>
      </c>
      <c r="H62" s="1">
        <v>297010</v>
      </c>
      <c r="I62" s="1">
        <v>18807.808514239299</v>
      </c>
    </row>
    <row r="63" spans="1:9">
      <c r="A63" s="1">
        <v>1062</v>
      </c>
      <c r="B63" s="1">
        <v>114</v>
      </c>
      <c r="C63" s="1" t="s">
        <v>41</v>
      </c>
      <c r="D63" s="1" t="s">
        <v>43</v>
      </c>
      <c r="E63" s="1">
        <v>9</v>
      </c>
      <c r="F63" s="2">
        <v>45598</v>
      </c>
      <c r="G63" s="1">
        <v>4485</v>
      </c>
      <c r="H63" s="1">
        <v>40365</v>
      </c>
      <c r="I63" s="1">
        <v>3867.1719809358801</v>
      </c>
    </row>
    <row r="64" spans="1:9">
      <c r="A64" s="1">
        <v>1063</v>
      </c>
      <c r="B64" s="1">
        <v>116</v>
      </c>
      <c r="C64" s="1" t="s">
        <v>41</v>
      </c>
      <c r="D64" s="1" t="s">
        <v>46</v>
      </c>
      <c r="E64" s="1">
        <v>7</v>
      </c>
      <c r="F64" s="2">
        <v>44987</v>
      </c>
      <c r="G64" s="1">
        <v>26393</v>
      </c>
      <c r="H64" s="1">
        <v>184751</v>
      </c>
      <c r="I64" s="1">
        <v>29295.940597027598</v>
      </c>
    </row>
    <row r="65" spans="1:9">
      <c r="A65" s="1">
        <v>1064</v>
      </c>
      <c r="B65" s="1">
        <v>115</v>
      </c>
      <c r="C65" s="1" t="s">
        <v>35</v>
      </c>
      <c r="D65" s="1" t="s">
        <v>43</v>
      </c>
      <c r="E65" s="1">
        <v>5</v>
      </c>
      <c r="F65" s="2">
        <v>45560</v>
      </c>
      <c r="G65" s="1">
        <v>45111</v>
      </c>
      <c r="H65" s="1">
        <v>225555</v>
      </c>
      <c r="I65" s="1">
        <v>30744.416065028101</v>
      </c>
    </row>
    <row r="66" spans="1:9">
      <c r="A66" s="1">
        <v>1065</v>
      </c>
      <c r="B66" s="1">
        <v>108</v>
      </c>
      <c r="C66" s="1" t="s">
        <v>41</v>
      </c>
      <c r="D66" s="1" t="s">
        <v>39</v>
      </c>
      <c r="E66" s="1">
        <v>7</v>
      </c>
      <c r="F66" s="2">
        <v>44977</v>
      </c>
      <c r="G66" s="1">
        <v>30446</v>
      </c>
      <c r="H66" s="1">
        <v>213122</v>
      </c>
      <c r="I66" s="1">
        <v>24842.173185048101</v>
      </c>
    </row>
    <row r="67" spans="1:9">
      <c r="A67" s="1">
        <v>1066</v>
      </c>
      <c r="B67" s="1">
        <v>114</v>
      </c>
      <c r="C67" s="1" t="s">
        <v>41</v>
      </c>
      <c r="D67" s="1" t="s">
        <v>42</v>
      </c>
      <c r="E67" s="1">
        <v>5</v>
      </c>
      <c r="F67" s="2">
        <v>45329</v>
      </c>
      <c r="G67" s="1">
        <v>4485</v>
      </c>
      <c r="H67" s="1">
        <v>22425</v>
      </c>
      <c r="I67" s="1">
        <v>4397.7628785897195</v>
      </c>
    </row>
    <row r="68" spans="1:9">
      <c r="A68" s="1">
        <v>1067</v>
      </c>
      <c r="B68" s="1">
        <v>108</v>
      </c>
      <c r="C68" s="1" t="s">
        <v>35</v>
      </c>
      <c r="D68" s="1" t="s">
        <v>39</v>
      </c>
      <c r="E68" s="1">
        <v>3</v>
      </c>
      <c r="F68" s="2">
        <v>44931</v>
      </c>
      <c r="G68" s="1">
        <v>30446</v>
      </c>
      <c r="H68" s="1">
        <v>91338</v>
      </c>
      <c r="I68" s="1">
        <v>17239.455765001199</v>
      </c>
    </row>
    <row r="69" spans="1:9">
      <c r="A69" s="1">
        <v>1068</v>
      </c>
      <c r="B69" s="1">
        <v>116</v>
      </c>
      <c r="C69" s="1" t="s">
        <v>37</v>
      </c>
      <c r="D69" s="1" t="s">
        <v>40</v>
      </c>
      <c r="E69" s="1">
        <v>7</v>
      </c>
      <c r="F69" s="2">
        <v>45392</v>
      </c>
      <c r="G69" s="1">
        <v>26393</v>
      </c>
      <c r="H69" s="1">
        <v>184751</v>
      </c>
      <c r="I69" s="1">
        <v>15398.2849279075</v>
      </c>
    </row>
    <row r="70" spans="1:9">
      <c r="A70" s="1">
        <v>1069</v>
      </c>
      <c r="B70" s="1">
        <v>113</v>
      </c>
      <c r="C70" s="1" t="s">
        <v>41</v>
      </c>
      <c r="D70" s="1" t="s">
        <v>36</v>
      </c>
      <c r="E70" s="1">
        <v>2</v>
      </c>
      <c r="F70" s="2">
        <v>45530</v>
      </c>
      <c r="G70" s="1">
        <v>4587</v>
      </c>
      <c r="H70" s="1">
        <v>9174</v>
      </c>
      <c r="I70" s="1">
        <v>2070.8087008871798</v>
      </c>
    </row>
    <row r="71" spans="1:9">
      <c r="A71" s="1">
        <v>1070</v>
      </c>
      <c r="B71" s="1">
        <v>118</v>
      </c>
      <c r="C71" s="1" t="s">
        <v>35</v>
      </c>
      <c r="D71" s="1" t="s">
        <v>42</v>
      </c>
      <c r="E71" s="1">
        <v>9</v>
      </c>
      <c r="F71" s="2">
        <v>45608</v>
      </c>
      <c r="G71" s="1">
        <v>23357</v>
      </c>
      <c r="H71" s="1">
        <v>210213</v>
      </c>
      <c r="I71" s="1">
        <v>31339.547355451399</v>
      </c>
    </row>
    <row r="72" spans="1:9">
      <c r="A72" s="1">
        <v>1071</v>
      </c>
      <c r="B72" s="1">
        <v>115</v>
      </c>
      <c r="C72" s="1" t="s">
        <v>44</v>
      </c>
      <c r="D72" s="1" t="s">
        <v>36</v>
      </c>
      <c r="E72" s="1">
        <v>1</v>
      </c>
      <c r="F72" s="2">
        <v>45460</v>
      </c>
      <c r="G72" s="1">
        <v>45111</v>
      </c>
      <c r="H72" s="1">
        <v>45111</v>
      </c>
      <c r="I72" s="1">
        <v>8945.1586324786895</v>
      </c>
    </row>
    <row r="73" spans="1:9">
      <c r="A73" s="1">
        <v>1072</v>
      </c>
      <c r="B73" s="1">
        <v>113</v>
      </c>
      <c r="C73" s="1" t="s">
        <v>37</v>
      </c>
      <c r="D73" s="1" t="s">
        <v>45</v>
      </c>
      <c r="E73" s="1">
        <v>6</v>
      </c>
      <c r="F73" s="2">
        <v>45331</v>
      </c>
      <c r="G73" s="1">
        <v>4587</v>
      </c>
      <c r="H73" s="1">
        <v>27522</v>
      </c>
      <c r="I73" s="1">
        <v>4530.9515346523704</v>
      </c>
    </row>
    <row r="74" spans="1:9">
      <c r="A74" s="1">
        <v>1073</v>
      </c>
      <c r="B74" s="1">
        <v>109</v>
      </c>
      <c r="C74" s="1" t="s">
        <v>44</v>
      </c>
      <c r="D74" s="1" t="s">
        <v>46</v>
      </c>
      <c r="E74" s="1">
        <v>7</v>
      </c>
      <c r="F74" s="2">
        <v>45439</v>
      </c>
      <c r="G74" s="1">
        <v>23978</v>
      </c>
      <c r="H74" s="1">
        <v>167846</v>
      </c>
      <c r="I74" s="1">
        <v>41884.042962470703</v>
      </c>
    </row>
    <row r="75" spans="1:9">
      <c r="A75" s="1">
        <v>1074</v>
      </c>
      <c r="B75" s="1">
        <v>115</v>
      </c>
      <c r="C75" s="1" t="s">
        <v>44</v>
      </c>
      <c r="D75" s="1" t="s">
        <v>38</v>
      </c>
      <c r="E75" s="1">
        <v>8</v>
      </c>
      <c r="F75" s="2">
        <v>45571</v>
      </c>
      <c r="G75" s="1">
        <v>45111</v>
      </c>
      <c r="H75" s="1">
        <v>360888</v>
      </c>
      <c r="I75" s="1">
        <v>72351.051436914102</v>
      </c>
    </row>
    <row r="76" spans="1:9">
      <c r="A76" s="1">
        <v>1075</v>
      </c>
      <c r="B76" s="1">
        <v>113</v>
      </c>
      <c r="C76" s="1" t="s">
        <v>35</v>
      </c>
      <c r="D76" s="1" t="s">
        <v>39</v>
      </c>
      <c r="E76" s="1">
        <v>9</v>
      </c>
      <c r="F76" s="2">
        <v>45159</v>
      </c>
      <c r="G76" s="1">
        <v>4587</v>
      </c>
      <c r="H76" s="1">
        <v>41283</v>
      </c>
      <c r="I76" s="1">
        <v>7901.4048763027404</v>
      </c>
    </row>
    <row r="77" spans="1:9">
      <c r="A77" s="1">
        <v>1076</v>
      </c>
      <c r="B77" s="1">
        <v>101</v>
      </c>
      <c r="C77" s="1" t="s">
        <v>41</v>
      </c>
      <c r="D77" s="1" t="s">
        <v>43</v>
      </c>
      <c r="E77" s="1">
        <v>2</v>
      </c>
      <c r="F77" s="2">
        <v>45450</v>
      </c>
      <c r="G77" s="1">
        <v>36970</v>
      </c>
      <c r="H77" s="1">
        <v>73940</v>
      </c>
      <c r="I77" s="1">
        <v>15210.5218346825</v>
      </c>
    </row>
    <row r="78" spans="1:9">
      <c r="A78" s="1">
        <v>1077</v>
      </c>
      <c r="B78" s="1">
        <v>107</v>
      </c>
      <c r="C78" s="1" t="s">
        <v>35</v>
      </c>
      <c r="D78" s="1" t="s">
        <v>46</v>
      </c>
      <c r="E78" s="1">
        <v>2</v>
      </c>
      <c r="F78" s="2">
        <v>45272</v>
      </c>
      <c r="G78" s="1">
        <v>39276</v>
      </c>
      <c r="H78" s="1">
        <v>78552</v>
      </c>
      <c r="I78" s="1">
        <v>6176.1979041606801</v>
      </c>
    </row>
    <row r="79" spans="1:9">
      <c r="A79" s="1">
        <v>1078</v>
      </c>
      <c r="B79" s="1">
        <v>109</v>
      </c>
      <c r="C79" s="1" t="s">
        <v>35</v>
      </c>
      <c r="D79" s="1" t="s">
        <v>42</v>
      </c>
      <c r="E79" s="1">
        <v>5</v>
      </c>
      <c r="F79" s="2">
        <v>44972</v>
      </c>
      <c r="G79" s="1">
        <v>23978</v>
      </c>
      <c r="H79" s="1">
        <v>119890</v>
      </c>
      <c r="I79" s="1">
        <v>10899.070255017399</v>
      </c>
    </row>
    <row r="80" spans="1:9">
      <c r="A80" s="1">
        <v>1079</v>
      </c>
      <c r="B80" s="1">
        <v>101</v>
      </c>
      <c r="C80" s="1" t="s">
        <v>35</v>
      </c>
      <c r="D80" s="1" t="s">
        <v>36</v>
      </c>
      <c r="E80" s="1">
        <v>5</v>
      </c>
      <c r="F80" s="2">
        <v>45472</v>
      </c>
      <c r="G80" s="1">
        <v>36970</v>
      </c>
      <c r="H80" s="1">
        <v>184850</v>
      </c>
      <c r="I80" s="1">
        <v>35641.449119807003</v>
      </c>
    </row>
    <row r="81" spans="1:9">
      <c r="A81" s="1">
        <v>1080</v>
      </c>
      <c r="B81" s="1">
        <v>112</v>
      </c>
      <c r="C81" s="1" t="s">
        <v>35</v>
      </c>
      <c r="D81" s="1" t="s">
        <v>43</v>
      </c>
      <c r="E81" s="1">
        <v>6</v>
      </c>
      <c r="F81" s="2">
        <v>45004</v>
      </c>
      <c r="G81" s="1">
        <v>34365</v>
      </c>
      <c r="H81" s="1">
        <v>206190</v>
      </c>
      <c r="I81" s="1">
        <v>30680.308566302501</v>
      </c>
    </row>
    <row r="82" spans="1:9">
      <c r="A82" s="1">
        <v>1081</v>
      </c>
      <c r="B82" s="1">
        <v>108</v>
      </c>
      <c r="C82" s="1" t="s">
        <v>37</v>
      </c>
      <c r="D82" s="1" t="s">
        <v>36</v>
      </c>
      <c r="E82" s="1">
        <v>3</v>
      </c>
      <c r="F82" s="2">
        <v>45656</v>
      </c>
      <c r="G82" s="1">
        <v>30446</v>
      </c>
      <c r="H82" s="1">
        <v>91338</v>
      </c>
      <c r="I82" s="1">
        <v>18352.275657583901</v>
      </c>
    </row>
    <row r="83" spans="1:9">
      <c r="A83" s="1">
        <v>1082</v>
      </c>
      <c r="B83" s="1">
        <v>111</v>
      </c>
      <c r="C83" s="1" t="s">
        <v>41</v>
      </c>
      <c r="D83" s="1" t="s">
        <v>40</v>
      </c>
      <c r="E83" s="1">
        <v>8</v>
      </c>
      <c r="F83" s="2">
        <v>44999</v>
      </c>
      <c r="G83" s="1">
        <v>14664</v>
      </c>
      <c r="H83" s="1">
        <v>117312</v>
      </c>
      <c r="I83" s="1">
        <v>8280.2570797314293</v>
      </c>
    </row>
    <row r="84" spans="1:9">
      <c r="A84" s="1">
        <v>1083</v>
      </c>
      <c r="B84" s="1">
        <v>119</v>
      </c>
      <c r="C84" s="1" t="s">
        <v>44</v>
      </c>
      <c r="D84" s="1" t="s">
        <v>36</v>
      </c>
      <c r="E84" s="1">
        <v>1</v>
      </c>
      <c r="F84" s="2">
        <v>45175</v>
      </c>
      <c r="G84" s="1">
        <v>18864</v>
      </c>
      <c r="H84" s="1">
        <v>18864</v>
      </c>
      <c r="I84" s="1">
        <v>2967.2368428810801</v>
      </c>
    </row>
    <row r="85" spans="1:9">
      <c r="A85" s="1">
        <v>1084</v>
      </c>
      <c r="B85" s="1">
        <v>117</v>
      </c>
      <c r="C85" s="1" t="s">
        <v>44</v>
      </c>
      <c r="D85" s="1" t="s">
        <v>40</v>
      </c>
      <c r="E85" s="1">
        <v>6</v>
      </c>
      <c r="F85" s="2">
        <v>44973</v>
      </c>
      <c r="G85" s="1">
        <v>3922</v>
      </c>
      <c r="H85" s="1">
        <v>23532</v>
      </c>
      <c r="I85" s="1">
        <v>2959.4858161370698</v>
      </c>
    </row>
    <row r="86" spans="1:9">
      <c r="A86" s="1">
        <v>1085</v>
      </c>
      <c r="B86" s="1">
        <v>108</v>
      </c>
      <c r="C86" s="1" t="s">
        <v>41</v>
      </c>
      <c r="D86" s="1" t="s">
        <v>45</v>
      </c>
      <c r="E86" s="1">
        <v>4</v>
      </c>
      <c r="F86" s="2">
        <v>45047</v>
      </c>
      <c r="G86" s="1">
        <v>30446</v>
      </c>
      <c r="H86" s="1">
        <v>121784</v>
      </c>
      <c r="I86" s="1">
        <v>17220.262941000001</v>
      </c>
    </row>
    <row r="87" spans="1:9">
      <c r="A87" s="1">
        <v>1086</v>
      </c>
      <c r="B87" s="1">
        <v>103</v>
      </c>
      <c r="C87" s="1" t="s">
        <v>44</v>
      </c>
      <c r="D87" s="1" t="s">
        <v>43</v>
      </c>
      <c r="E87" s="1">
        <v>1</v>
      </c>
      <c r="F87" s="2">
        <v>45140</v>
      </c>
      <c r="G87" s="1">
        <v>21175</v>
      </c>
      <c r="H87" s="1">
        <v>21175</v>
      </c>
      <c r="I87" s="1">
        <v>3616.5115882270902</v>
      </c>
    </row>
    <row r="88" spans="1:9">
      <c r="A88" s="1">
        <v>1087</v>
      </c>
      <c r="B88" s="1">
        <v>103</v>
      </c>
      <c r="C88" s="1" t="s">
        <v>41</v>
      </c>
      <c r="D88" s="1" t="s">
        <v>43</v>
      </c>
      <c r="E88" s="1">
        <v>7</v>
      </c>
      <c r="F88" s="2">
        <v>45165</v>
      </c>
      <c r="G88" s="1">
        <v>21175</v>
      </c>
      <c r="H88" s="1">
        <v>148225</v>
      </c>
      <c r="I88" s="1">
        <v>22301.588060526701</v>
      </c>
    </row>
    <row r="89" spans="1:9">
      <c r="A89" s="1">
        <v>1088</v>
      </c>
      <c r="B89" s="1">
        <v>101</v>
      </c>
      <c r="C89" s="1" t="s">
        <v>44</v>
      </c>
      <c r="D89" s="1" t="s">
        <v>38</v>
      </c>
      <c r="E89" s="1">
        <v>9</v>
      </c>
      <c r="F89" s="2">
        <v>44982</v>
      </c>
      <c r="G89" s="1">
        <v>36970</v>
      </c>
      <c r="H89" s="1">
        <v>332730</v>
      </c>
      <c r="I89" s="1">
        <v>52562.065957310799</v>
      </c>
    </row>
    <row r="90" spans="1:9">
      <c r="A90" s="1">
        <v>1089</v>
      </c>
      <c r="B90" s="1">
        <v>105</v>
      </c>
      <c r="C90" s="1" t="s">
        <v>35</v>
      </c>
      <c r="D90" s="1" t="s">
        <v>42</v>
      </c>
      <c r="E90" s="1">
        <v>4</v>
      </c>
      <c r="F90" s="2">
        <v>45276</v>
      </c>
      <c r="G90" s="1">
        <v>18639</v>
      </c>
      <c r="H90" s="1">
        <v>74556</v>
      </c>
      <c r="I90" s="1">
        <v>10979.973685532899</v>
      </c>
    </row>
    <row r="91" spans="1:9">
      <c r="A91" s="1">
        <v>1090</v>
      </c>
      <c r="B91" s="1">
        <v>110</v>
      </c>
      <c r="C91" s="1" t="s">
        <v>44</v>
      </c>
      <c r="D91" s="1" t="s">
        <v>40</v>
      </c>
      <c r="E91" s="1">
        <v>4</v>
      </c>
      <c r="F91" s="2">
        <v>45033</v>
      </c>
      <c r="G91" s="1">
        <v>35299</v>
      </c>
      <c r="H91" s="1">
        <v>141196</v>
      </c>
      <c r="I91" s="1">
        <v>18608.367036752701</v>
      </c>
    </row>
    <row r="92" spans="1:9">
      <c r="A92" s="1">
        <v>1091</v>
      </c>
      <c r="B92" s="1">
        <v>107</v>
      </c>
      <c r="C92" s="1" t="s">
        <v>41</v>
      </c>
      <c r="D92" s="1" t="s">
        <v>38</v>
      </c>
      <c r="E92" s="1">
        <v>6</v>
      </c>
      <c r="F92" s="2">
        <v>44974</v>
      </c>
      <c r="G92" s="1">
        <v>39276</v>
      </c>
      <c r="H92" s="1">
        <v>235656</v>
      </c>
      <c r="I92" s="1">
        <v>48162.524003972001</v>
      </c>
    </row>
    <row r="93" spans="1:9">
      <c r="A93" s="1">
        <v>1092</v>
      </c>
      <c r="B93" s="1">
        <v>109</v>
      </c>
      <c r="C93" s="1" t="s">
        <v>41</v>
      </c>
      <c r="D93" s="1" t="s">
        <v>36</v>
      </c>
      <c r="E93" s="1">
        <v>3</v>
      </c>
      <c r="F93" s="2">
        <v>45499</v>
      </c>
      <c r="G93" s="1">
        <v>23978</v>
      </c>
      <c r="H93" s="1">
        <v>71934</v>
      </c>
      <c r="I93" s="1">
        <v>3772.26316082524</v>
      </c>
    </row>
    <row r="94" spans="1:9">
      <c r="A94" s="1">
        <v>1093</v>
      </c>
      <c r="B94" s="1">
        <v>107</v>
      </c>
      <c r="C94" s="1" t="s">
        <v>41</v>
      </c>
      <c r="D94" s="1" t="s">
        <v>36</v>
      </c>
      <c r="E94" s="1">
        <v>6</v>
      </c>
      <c r="F94" s="2">
        <v>45263</v>
      </c>
      <c r="G94" s="1">
        <v>39276</v>
      </c>
      <c r="H94" s="1">
        <v>235656</v>
      </c>
      <c r="I94" s="1">
        <v>39988.122639043802</v>
      </c>
    </row>
    <row r="95" spans="1:9">
      <c r="A95" s="1">
        <v>1094</v>
      </c>
      <c r="B95" s="1">
        <v>109</v>
      </c>
      <c r="C95" s="1" t="s">
        <v>41</v>
      </c>
      <c r="D95" s="1" t="s">
        <v>38</v>
      </c>
      <c r="E95" s="1">
        <v>7</v>
      </c>
      <c r="F95" s="2">
        <v>44952</v>
      </c>
      <c r="G95" s="1">
        <v>23978</v>
      </c>
      <c r="H95" s="1">
        <v>167846</v>
      </c>
      <c r="I95" s="1">
        <v>27375.9628129544</v>
      </c>
    </row>
    <row r="96" spans="1:9">
      <c r="A96" s="1">
        <v>1095</v>
      </c>
      <c r="B96" s="1">
        <v>108</v>
      </c>
      <c r="C96" s="1" t="s">
        <v>41</v>
      </c>
      <c r="D96" s="1" t="s">
        <v>43</v>
      </c>
      <c r="E96" s="1">
        <v>3</v>
      </c>
      <c r="F96" s="2">
        <v>45183</v>
      </c>
      <c r="G96" s="1">
        <v>30446</v>
      </c>
      <c r="H96" s="1">
        <v>91338</v>
      </c>
      <c r="I96" s="1">
        <v>17649.772865591702</v>
      </c>
    </row>
    <row r="97" spans="1:9">
      <c r="A97" s="1">
        <v>1096</v>
      </c>
      <c r="B97" s="1">
        <v>112</v>
      </c>
      <c r="C97" s="1" t="s">
        <v>37</v>
      </c>
      <c r="D97" s="1" t="s">
        <v>36</v>
      </c>
      <c r="E97" s="1">
        <v>7</v>
      </c>
      <c r="F97" s="2">
        <v>44934</v>
      </c>
      <c r="G97" s="1">
        <v>34365</v>
      </c>
      <c r="H97" s="1">
        <v>240555</v>
      </c>
      <c r="I97" s="1">
        <v>40847.651768802003</v>
      </c>
    </row>
    <row r="98" spans="1:9">
      <c r="A98" s="1">
        <v>1097</v>
      </c>
      <c r="B98" s="1">
        <v>102</v>
      </c>
      <c r="C98" s="1" t="s">
        <v>37</v>
      </c>
      <c r="D98" s="1" t="s">
        <v>39</v>
      </c>
      <c r="E98" s="1">
        <v>3</v>
      </c>
      <c r="F98" s="2">
        <v>45551</v>
      </c>
      <c r="G98" s="1">
        <v>20365</v>
      </c>
      <c r="H98" s="1">
        <v>61095</v>
      </c>
      <c r="I98" s="1">
        <v>13157.4048769991</v>
      </c>
    </row>
    <row r="99" spans="1:9">
      <c r="A99" s="1">
        <v>1098</v>
      </c>
      <c r="B99" s="1">
        <v>101</v>
      </c>
      <c r="C99" s="1" t="s">
        <v>44</v>
      </c>
      <c r="D99" s="1" t="s">
        <v>45</v>
      </c>
      <c r="E99" s="1">
        <v>2</v>
      </c>
      <c r="F99" s="2">
        <v>45179</v>
      </c>
      <c r="G99" s="1">
        <v>36970</v>
      </c>
      <c r="H99" s="1">
        <v>73940</v>
      </c>
      <c r="I99" s="1">
        <v>17879.7980620128</v>
      </c>
    </row>
    <row r="100" spans="1:9">
      <c r="A100" s="1">
        <v>1099</v>
      </c>
      <c r="B100" s="1">
        <v>116</v>
      </c>
      <c r="C100" s="1" t="s">
        <v>41</v>
      </c>
      <c r="D100" s="1" t="s">
        <v>45</v>
      </c>
      <c r="E100" s="1">
        <v>4</v>
      </c>
      <c r="F100" s="2">
        <v>45618</v>
      </c>
      <c r="G100" s="1">
        <v>26393</v>
      </c>
      <c r="H100" s="1">
        <v>105572</v>
      </c>
      <c r="I100" s="1">
        <v>12510.794175770599</v>
      </c>
    </row>
    <row r="101" spans="1:9">
      <c r="A101" s="1">
        <v>1100</v>
      </c>
      <c r="B101" s="1">
        <v>105</v>
      </c>
      <c r="C101" s="1" t="s">
        <v>44</v>
      </c>
      <c r="D101" s="1" t="s">
        <v>39</v>
      </c>
      <c r="E101" s="1">
        <v>8</v>
      </c>
      <c r="F101" s="2">
        <v>45645</v>
      </c>
      <c r="G101" s="1">
        <v>18639</v>
      </c>
      <c r="H101" s="1">
        <v>149112</v>
      </c>
      <c r="I101" s="1">
        <v>14235.751956313499</v>
      </c>
    </row>
    <row r="102" spans="1:9">
      <c r="A102" s="1">
        <v>1101</v>
      </c>
      <c r="B102" s="1">
        <v>103</v>
      </c>
      <c r="C102" s="1" t="s">
        <v>41</v>
      </c>
      <c r="D102" s="1" t="s">
        <v>38</v>
      </c>
      <c r="E102" s="1">
        <v>9</v>
      </c>
      <c r="F102" s="2">
        <v>45229</v>
      </c>
      <c r="G102" s="1">
        <v>21175</v>
      </c>
      <c r="H102" s="1">
        <v>190575</v>
      </c>
      <c r="I102" s="1">
        <v>25674.1444111567</v>
      </c>
    </row>
    <row r="103" spans="1:9">
      <c r="A103" s="1">
        <v>1102</v>
      </c>
      <c r="B103" s="1">
        <v>112</v>
      </c>
      <c r="C103" s="1" t="s">
        <v>41</v>
      </c>
      <c r="D103" s="1" t="s">
        <v>39</v>
      </c>
      <c r="E103" s="1">
        <v>7</v>
      </c>
      <c r="F103" s="2">
        <v>45565</v>
      </c>
      <c r="G103" s="1">
        <v>34365</v>
      </c>
      <c r="H103" s="1">
        <v>240555</v>
      </c>
      <c r="I103" s="1">
        <v>25880.331778263699</v>
      </c>
    </row>
    <row r="104" spans="1:9">
      <c r="A104" s="1">
        <v>1103</v>
      </c>
      <c r="B104" s="1">
        <v>108</v>
      </c>
      <c r="C104" s="1" t="s">
        <v>37</v>
      </c>
      <c r="D104" s="1" t="s">
        <v>40</v>
      </c>
      <c r="E104" s="1">
        <v>1</v>
      </c>
      <c r="F104" s="2">
        <v>44982</v>
      </c>
      <c r="G104" s="1">
        <v>30446</v>
      </c>
      <c r="H104" s="1">
        <v>30446</v>
      </c>
      <c r="I104" s="1">
        <v>5266.8551423891404</v>
      </c>
    </row>
    <row r="105" spans="1:9">
      <c r="A105" s="1">
        <v>1104</v>
      </c>
      <c r="B105" s="1">
        <v>103</v>
      </c>
      <c r="C105" s="1" t="s">
        <v>37</v>
      </c>
      <c r="D105" s="1" t="s">
        <v>40</v>
      </c>
      <c r="E105" s="1">
        <v>3</v>
      </c>
      <c r="F105" s="2">
        <v>45652</v>
      </c>
      <c r="G105" s="1">
        <v>21175</v>
      </c>
      <c r="H105" s="1">
        <v>63525</v>
      </c>
      <c r="I105" s="1">
        <v>14761.3348543499</v>
      </c>
    </row>
    <row r="106" spans="1:9">
      <c r="A106" s="1">
        <v>1105</v>
      </c>
      <c r="B106" s="1">
        <v>101</v>
      </c>
      <c r="C106" s="1" t="s">
        <v>35</v>
      </c>
      <c r="D106" s="1" t="s">
        <v>38</v>
      </c>
      <c r="E106" s="1">
        <v>9</v>
      </c>
      <c r="F106" s="2">
        <v>45452</v>
      </c>
      <c r="G106" s="1">
        <v>36970</v>
      </c>
      <c r="H106" s="1">
        <v>332730</v>
      </c>
      <c r="I106" s="1">
        <v>25894.1262554442</v>
      </c>
    </row>
    <row r="107" spans="1:9">
      <c r="A107" s="1">
        <v>1106</v>
      </c>
      <c r="B107" s="1">
        <v>103</v>
      </c>
      <c r="C107" s="1" t="s">
        <v>37</v>
      </c>
      <c r="D107" s="1" t="s">
        <v>39</v>
      </c>
      <c r="E107" s="1">
        <v>1</v>
      </c>
      <c r="F107" s="2">
        <v>45400</v>
      </c>
      <c r="G107" s="1">
        <v>21175</v>
      </c>
      <c r="H107" s="1">
        <v>21175</v>
      </c>
      <c r="I107" s="1">
        <v>1485.6151437722799</v>
      </c>
    </row>
    <row r="108" spans="1:9">
      <c r="A108" s="1">
        <v>1107</v>
      </c>
      <c r="B108" s="1">
        <v>105</v>
      </c>
      <c r="C108" s="1" t="s">
        <v>35</v>
      </c>
      <c r="D108" s="1" t="s">
        <v>40</v>
      </c>
      <c r="E108" s="1">
        <v>9</v>
      </c>
      <c r="F108" s="2">
        <v>44954</v>
      </c>
      <c r="G108" s="1">
        <v>18639</v>
      </c>
      <c r="H108" s="1">
        <v>167751</v>
      </c>
      <c r="I108" s="1">
        <v>16976.9222967967</v>
      </c>
    </row>
    <row r="109" spans="1:9">
      <c r="A109" s="1">
        <v>1108</v>
      </c>
      <c r="B109" s="1">
        <v>115</v>
      </c>
      <c r="C109" s="1" t="s">
        <v>35</v>
      </c>
      <c r="D109" s="1" t="s">
        <v>43</v>
      </c>
      <c r="E109" s="1">
        <v>8</v>
      </c>
      <c r="F109" s="2">
        <v>45004</v>
      </c>
      <c r="G109" s="1">
        <v>45111</v>
      </c>
      <c r="H109" s="1">
        <v>360888</v>
      </c>
      <c r="I109" s="1">
        <v>70452.236772577497</v>
      </c>
    </row>
    <row r="110" spans="1:9">
      <c r="A110" s="1">
        <v>1109</v>
      </c>
      <c r="B110" s="1">
        <v>114</v>
      </c>
      <c r="C110" s="1" t="s">
        <v>35</v>
      </c>
      <c r="D110" s="1" t="s">
        <v>39</v>
      </c>
      <c r="E110" s="1">
        <v>1</v>
      </c>
      <c r="F110" s="2">
        <v>45142</v>
      </c>
      <c r="G110" s="1">
        <v>4485</v>
      </c>
      <c r="H110" s="1">
        <v>4485</v>
      </c>
      <c r="I110" s="1">
        <v>756.137726017163</v>
      </c>
    </row>
    <row r="111" spans="1:9">
      <c r="A111" s="1">
        <v>1110</v>
      </c>
      <c r="B111" s="1">
        <v>103</v>
      </c>
      <c r="C111" s="1" t="s">
        <v>35</v>
      </c>
      <c r="D111" s="1" t="s">
        <v>43</v>
      </c>
      <c r="E111" s="1">
        <v>6</v>
      </c>
      <c r="F111" s="2">
        <v>45312</v>
      </c>
      <c r="G111" s="1">
        <v>21175</v>
      </c>
      <c r="H111" s="1">
        <v>127050</v>
      </c>
      <c r="I111" s="1">
        <v>8949.7237979623205</v>
      </c>
    </row>
    <row r="112" spans="1:9">
      <c r="A112" s="1">
        <v>1111</v>
      </c>
      <c r="B112" s="1">
        <v>101</v>
      </c>
      <c r="C112" s="1" t="s">
        <v>35</v>
      </c>
      <c r="D112" s="1" t="s">
        <v>40</v>
      </c>
      <c r="E112" s="1">
        <v>5</v>
      </c>
      <c r="F112" s="2">
        <v>45291</v>
      </c>
      <c r="G112" s="1">
        <v>36970</v>
      </c>
      <c r="H112" s="1">
        <v>184850</v>
      </c>
      <c r="I112" s="1">
        <v>43208.706807979797</v>
      </c>
    </row>
    <row r="113" spans="1:9">
      <c r="A113" s="1">
        <v>1112</v>
      </c>
      <c r="B113" s="1">
        <v>105</v>
      </c>
      <c r="C113" s="1" t="s">
        <v>44</v>
      </c>
      <c r="D113" s="1" t="s">
        <v>45</v>
      </c>
      <c r="E113" s="1">
        <v>6</v>
      </c>
      <c r="F113" s="2">
        <v>45592</v>
      </c>
      <c r="G113" s="1">
        <v>18639</v>
      </c>
      <c r="H113" s="1">
        <v>111834</v>
      </c>
      <c r="I113" s="1">
        <v>23263.365061626999</v>
      </c>
    </row>
    <row r="114" spans="1:9">
      <c r="A114" s="1">
        <v>1113</v>
      </c>
      <c r="B114" s="1">
        <v>114</v>
      </c>
      <c r="C114" s="1" t="s">
        <v>37</v>
      </c>
      <c r="D114" s="1" t="s">
        <v>40</v>
      </c>
      <c r="E114" s="1">
        <v>5</v>
      </c>
      <c r="F114" s="2">
        <v>45452</v>
      </c>
      <c r="G114" s="1">
        <v>4485</v>
      </c>
      <c r="H114" s="1">
        <v>22425</v>
      </c>
      <c r="I114" s="1">
        <v>1224.5063824725501</v>
      </c>
    </row>
    <row r="115" spans="1:9">
      <c r="A115" s="1">
        <v>1114</v>
      </c>
      <c r="B115" s="1">
        <v>107</v>
      </c>
      <c r="C115" s="1" t="s">
        <v>35</v>
      </c>
      <c r="D115" s="1" t="s">
        <v>43</v>
      </c>
      <c r="E115" s="1">
        <v>6</v>
      </c>
      <c r="F115" s="2">
        <v>45625</v>
      </c>
      <c r="G115" s="1">
        <v>39276</v>
      </c>
      <c r="H115" s="1">
        <v>235656</v>
      </c>
      <c r="I115" s="1">
        <v>42482.518294529204</v>
      </c>
    </row>
    <row r="116" spans="1:9">
      <c r="A116" s="1">
        <v>1115</v>
      </c>
      <c r="B116" s="1">
        <v>109</v>
      </c>
      <c r="C116" s="1" t="s">
        <v>41</v>
      </c>
      <c r="D116" s="1" t="s">
        <v>46</v>
      </c>
      <c r="E116" s="1">
        <v>5</v>
      </c>
      <c r="F116" s="2">
        <v>45238</v>
      </c>
      <c r="G116" s="1">
        <v>23978</v>
      </c>
      <c r="H116" s="1">
        <v>119890</v>
      </c>
      <c r="I116" s="1">
        <v>24487.452617766299</v>
      </c>
    </row>
    <row r="117" spans="1:9">
      <c r="A117" s="1">
        <v>1116</v>
      </c>
      <c r="B117" s="1">
        <v>115</v>
      </c>
      <c r="C117" s="1" t="s">
        <v>37</v>
      </c>
      <c r="D117" s="1" t="s">
        <v>42</v>
      </c>
      <c r="E117" s="1">
        <v>5</v>
      </c>
      <c r="F117" s="2">
        <v>44933</v>
      </c>
      <c r="G117" s="1">
        <v>45111</v>
      </c>
      <c r="H117" s="1">
        <v>225555</v>
      </c>
      <c r="I117" s="1">
        <v>28168.903963458</v>
      </c>
    </row>
    <row r="118" spans="1:9">
      <c r="A118" s="1">
        <v>1117</v>
      </c>
      <c r="B118" s="1">
        <v>115</v>
      </c>
      <c r="C118" s="1" t="s">
        <v>37</v>
      </c>
      <c r="D118" s="1" t="s">
        <v>36</v>
      </c>
      <c r="E118" s="1">
        <v>4</v>
      </c>
      <c r="F118" s="2">
        <v>44929</v>
      </c>
      <c r="G118" s="1">
        <v>45111</v>
      </c>
      <c r="H118" s="1">
        <v>180444</v>
      </c>
      <c r="I118" s="1">
        <v>11509.4956499157</v>
      </c>
    </row>
    <row r="119" spans="1:9">
      <c r="A119" s="1">
        <v>1118</v>
      </c>
      <c r="B119" s="1">
        <v>110</v>
      </c>
      <c r="C119" s="1" t="s">
        <v>35</v>
      </c>
      <c r="D119" s="1" t="s">
        <v>39</v>
      </c>
      <c r="E119" s="1">
        <v>3</v>
      </c>
      <c r="F119" s="2">
        <v>45549</v>
      </c>
      <c r="G119" s="1">
        <v>35299</v>
      </c>
      <c r="H119" s="1">
        <v>105897</v>
      </c>
      <c r="I119" s="1">
        <v>6932.4637744132197</v>
      </c>
    </row>
    <row r="120" spans="1:9">
      <c r="A120" s="1">
        <v>1119</v>
      </c>
      <c r="B120" s="1">
        <v>113</v>
      </c>
      <c r="C120" s="1" t="s">
        <v>44</v>
      </c>
      <c r="D120" s="1" t="s">
        <v>46</v>
      </c>
      <c r="E120" s="1">
        <v>3</v>
      </c>
      <c r="F120" s="2">
        <v>45289</v>
      </c>
      <c r="G120" s="1">
        <v>4587</v>
      </c>
      <c r="H120" s="1">
        <v>13761</v>
      </c>
      <c r="I120" s="1">
        <v>974.95849996778998</v>
      </c>
    </row>
    <row r="121" spans="1:9">
      <c r="A121" s="1">
        <v>1120</v>
      </c>
      <c r="B121" s="1">
        <v>119</v>
      </c>
      <c r="C121" s="1" t="s">
        <v>35</v>
      </c>
      <c r="D121" s="1" t="s">
        <v>40</v>
      </c>
      <c r="E121" s="1">
        <v>4</v>
      </c>
      <c r="F121" s="2">
        <v>45434</v>
      </c>
      <c r="G121" s="1">
        <v>18864</v>
      </c>
      <c r="H121" s="1">
        <v>75456</v>
      </c>
      <c r="I121" s="1">
        <v>16456.042574143001</v>
      </c>
    </row>
    <row r="122" spans="1:9">
      <c r="A122" s="1">
        <v>1121</v>
      </c>
      <c r="B122" s="1">
        <v>107</v>
      </c>
      <c r="C122" s="1" t="s">
        <v>44</v>
      </c>
      <c r="D122" s="1" t="s">
        <v>45</v>
      </c>
      <c r="E122" s="1">
        <v>9</v>
      </c>
      <c r="F122" s="2">
        <v>45200</v>
      </c>
      <c r="G122" s="1">
        <v>39276</v>
      </c>
      <c r="H122" s="1">
        <v>353484</v>
      </c>
      <c r="I122" s="1">
        <v>82056.800020844501</v>
      </c>
    </row>
    <row r="123" spans="1:9">
      <c r="A123" s="1">
        <v>1122</v>
      </c>
      <c r="B123" s="1">
        <v>117</v>
      </c>
      <c r="C123" s="1" t="s">
        <v>41</v>
      </c>
      <c r="D123" s="1" t="s">
        <v>38</v>
      </c>
      <c r="E123" s="1">
        <v>2</v>
      </c>
      <c r="F123" s="2">
        <v>45432</v>
      </c>
      <c r="G123" s="1">
        <v>3922</v>
      </c>
      <c r="H123" s="1">
        <v>7844</v>
      </c>
      <c r="I123" s="1">
        <v>584.86555455958705</v>
      </c>
    </row>
    <row r="124" spans="1:9">
      <c r="A124" s="1">
        <v>1123</v>
      </c>
      <c r="B124" s="1">
        <v>120</v>
      </c>
      <c r="C124" s="1" t="s">
        <v>37</v>
      </c>
      <c r="D124" s="1" t="s">
        <v>40</v>
      </c>
      <c r="E124" s="1">
        <v>9</v>
      </c>
      <c r="F124" s="2">
        <v>44941</v>
      </c>
      <c r="G124" s="1">
        <v>39145</v>
      </c>
      <c r="H124" s="1">
        <v>352305</v>
      </c>
      <c r="I124" s="1">
        <v>34237.425103604</v>
      </c>
    </row>
    <row r="125" spans="1:9">
      <c r="A125" s="1">
        <v>1124</v>
      </c>
      <c r="B125" s="1">
        <v>104</v>
      </c>
      <c r="C125" s="1" t="s">
        <v>41</v>
      </c>
      <c r="D125" s="1" t="s">
        <v>45</v>
      </c>
      <c r="E125" s="1">
        <v>1</v>
      </c>
      <c r="F125" s="2">
        <v>45118</v>
      </c>
      <c r="G125" s="1">
        <v>42430</v>
      </c>
      <c r="H125" s="1">
        <v>42430</v>
      </c>
      <c r="I125" s="1">
        <v>3526.1070509768201</v>
      </c>
    </row>
    <row r="126" spans="1:9">
      <c r="A126" s="1">
        <v>1125</v>
      </c>
      <c r="B126" s="1">
        <v>105</v>
      </c>
      <c r="C126" s="1" t="s">
        <v>44</v>
      </c>
      <c r="D126" s="1" t="s">
        <v>42</v>
      </c>
      <c r="E126" s="1">
        <v>1</v>
      </c>
      <c r="F126" s="2">
        <v>45557</v>
      </c>
      <c r="G126" s="1">
        <v>18639</v>
      </c>
      <c r="H126" s="1">
        <v>18639</v>
      </c>
      <c r="I126" s="1">
        <v>1626.51697457818</v>
      </c>
    </row>
    <row r="127" spans="1:9">
      <c r="A127" s="1">
        <v>1126</v>
      </c>
      <c r="B127" s="1">
        <v>107</v>
      </c>
      <c r="C127" s="1" t="s">
        <v>44</v>
      </c>
      <c r="D127" s="1" t="s">
        <v>40</v>
      </c>
      <c r="E127" s="1">
        <v>5</v>
      </c>
      <c r="F127" s="2">
        <v>45411</v>
      </c>
      <c r="G127" s="1">
        <v>39276</v>
      </c>
      <c r="H127" s="1">
        <v>196380</v>
      </c>
      <c r="I127" s="1">
        <v>42712.2882288619</v>
      </c>
    </row>
    <row r="128" spans="1:9">
      <c r="A128" s="1">
        <v>1127</v>
      </c>
      <c r="B128" s="1">
        <v>113</v>
      </c>
      <c r="C128" s="1" t="s">
        <v>41</v>
      </c>
      <c r="D128" s="1" t="s">
        <v>43</v>
      </c>
      <c r="E128" s="1">
        <v>6</v>
      </c>
      <c r="F128" s="2">
        <v>44954</v>
      </c>
      <c r="G128" s="1">
        <v>4587</v>
      </c>
      <c r="H128" s="1">
        <v>27522</v>
      </c>
      <c r="I128" s="1">
        <v>3204.3667138178498</v>
      </c>
    </row>
    <row r="129" spans="1:9">
      <c r="A129" s="1">
        <v>1128</v>
      </c>
      <c r="B129" s="1">
        <v>115</v>
      </c>
      <c r="C129" s="1" t="s">
        <v>44</v>
      </c>
      <c r="D129" s="1" t="s">
        <v>38</v>
      </c>
      <c r="E129" s="1">
        <v>6</v>
      </c>
      <c r="F129" s="2">
        <v>45640</v>
      </c>
      <c r="G129" s="1">
        <v>45111</v>
      </c>
      <c r="H129" s="1">
        <v>270666</v>
      </c>
      <c r="I129" s="1">
        <v>30392.7746344355</v>
      </c>
    </row>
    <row r="130" spans="1:9">
      <c r="A130" s="1">
        <v>1129</v>
      </c>
      <c r="B130" s="1">
        <v>111</v>
      </c>
      <c r="C130" s="1" t="s">
        <v>41</v>
      </c>
      <c r="D130" s="1" t="s">
        <v>45</v>
      </c>
      <c r="E130" s="1">
        <v>3</v>
      </c>
      <c r="F130" s="2">
        <v>44965</v>
      </c>
      <c r="G130" s="1">
        <v>14664</v>
      </c>
      <c r="H130" s="1">
        <v>43992</v>
      </c>
      <c r="I130" s="1">
        <v>4200.3176307251897</v>
      </c>
    </row>
    <row r="131" spans="1:9">
      <c r="A131" s="1">
        <v>1130</v>
      </c>
      <c r="B131" s="1">
        <v>104</v>
      </c>
      <c r="C131" s="1" t="s">
        <v>37</v>
      </c>
      <c r="D131" s="1" t="s">
        <v>45</v>
      </c>
      <c r="E131" s="1">
        <v>7</v>
      </c>
      <c r="F131" s="2">
        <v>45199</v>
      </c>
      <c r="G131" s="1">
        <v>42430</v>
      </c>
      <c r="H131" s="1">
        <v>297010</v>
      </c>
      <c r="I131" s="1">
        <v>50960.6427801666</v>
      </c>
    </row>
    <row r="132" spans="1:9">
      <c r="A132" s="1">
        <v>1131</v>
      </c>
      <c r="B132" s="1">
        <v>113</v>
      </c>
      <c r="C132" s="1" t="s">
        <v>41</v>
      </c>
      <c r="D132" s="1" t="s">
        <v>45</v>
      </c>
      <c r="E132" s="1">
        <v>9</v>
      </c>
      <c r="F132" s="2">
        <v>45157</v>
      </c>
      <c r="G132" s="1">
        <v>4587</v>
      </c>
      <c r="H132" s="1">
        <v>41283</v>
      </c>
      <c r="I132" s="1">
        <v>5195.9254292901196</v>
      </c>
    </row>
    <row r="133" spans="1:9">
      <c r="A133" s="1">
        <v>1132</v>
      </c>
      <c r="B133" s="1">
        <v>107</v>
      </c>
      <c r="C133" s="1" t="s">
        <v>37</v>
      </c>
      <c r="D133" s="1" t="s">
        <v>42</v>
      </c>
      <c r="E133" s="1">
        <v>8</v>
      </c>
      <c r="F133" s="2">
        <v>45012</v>
      </c>
      <c r="G133" s="1">
        <v>39276</v>
      </c>
      <c r="H133" s="1">
        <v>314208</v>
      </c>
      <c r="I133" s="1">
        <v>62480.238921275202</v>
      </c>
    </row>
    <row r="134" spans="1:9">
      <c r="A134" s="1">
        <v>1133</v>
      </c>
      <c r="B134" s="1">
        <v>119</v>
      </c>
      <c r="C134" s="1" t="s">
        <v>41</v>
      </c>
      <c r="D134" s="1" t="s">
        <v>40</v>
      </c>
      <c r="E134" s="1">
        <v>6</v>
      </c>
      <c r="F134" s="2">
        <v>45400</v>
      </c>
      <c r="G134" s="1">
        <v>18864</v>
      </c>
      <c r="H134" s="1">
        <v>113184</v>
      </c>
      <c r="I134" s="1">
        <v>10312.869006237601</v>
      </c>
    </row>
    <row r="135" spans="1:9">
      <c r="A135" s="1">
        <v>1134</v>
      </c>
      <c r="B135" s="1">
        <v>102</v>
      </c>
      <c r="C135" s="1" t="s">
        <v>44</v>
      </c>
      <c r="D135" s="1" t="s">
        <v>42</v>
      </c>
      <c r="E135" s="1">
        <v>8</v>
      </c>
      <c r="F135" s="2">
        <v>45052</v>
      </c>
      <c r="G135" s="1">
        <v>20365</v>
      </c>
      <c r="H135" s="1">
        <v>162920</v>
      </c>
      <c r="I135" s="1">
        <v>33815.345733873</v>
      </c>
    </row>
    <row r="136" spans="1:9">
      <c r="A136" s="1">
        <v>1135</v>
      </c>
      <c r="B136" s="1">
        <v>110</v>
      </c>
      <c r="C136" s="1" t="s">
        <v>41</v>
      </c>
      <c r="D136" s="1" t="s">
        <v>39</v>
      </c>
      <c r="E136" s="1">
        <v>5</v>
      </c>
      <c r="F136" s="2">
        <v>45463</v>
      </c>
      <c r="G136" s="1">
        <v>35299</v>
      </c>
      <c r="H136" s="1">
        <v>176495</v>
      </c>
      <c r="I136" s="1">
        <v>30135.516348542202</v>
      </c>
    </row>
    <row r="137" spans="1:9">
      <c r="A137" s="1">
        <v>1136</v>
      </c>
      <c r="B137" s="1">
        <v>113</v>
      </c>
      <c r="C137" s="1" t="s">
        <v>44</v>
      </c>
      <c r="D137" s="1" t="s">
        <v>36</v>
      </c>
      <c r="E137" s="1">
        <v>8</v>
      </c>
      <c r="F137" s="2">
        <v>45071</v>
      </c>
      <c r="G137" s="1">
        <v>4587</v>
      </c>
      <c r="H137" s="1">
        <v>36696</v>
      </c>
      <c r="I137" s="1">
        <v>2673.4305685687</v>
      </c>
    </row>
    <row r="138" spans="1:9">
      <c r="A138" s="1">
        <v>1137</v>
      </c>
      <c r="B138" s="1">
        <v>106</v>
      </c>
      <c r="C138" s="1" t="s">
        <v>41</v>
      </c>
      <c r="D138" s="1" t="s">
        <v>36</v>
      </c>
      <c r="E138" s="1">
        <v>4</v>
      </c>
      <c r="F138" s="2">
        <v>45451</v>
      </c>
      <c r="G138" s="1">
        <v>20269</v>
      </c>
      <c r="H138" s="1">
        <v>81076</v>
      </c>
      <c r="I138" s="1">
        <v>10775.0747337787</v>
      </c>
    </row>
    <row r="139" spans="1:9">
      <c r="A139" s="1">
        <v>1138</v>
      </c>
      <c r="B139" s="1">
        <v>112</v>
      </c>
      <c r="C139" s="1" t="s">
        <v>41</v>
      </c>
      <c r="D139" s="1" t="s">
        <v>39</v>
      </c>
      <c r="E139" s="1">
        <v>8</v>
      </c>
      <c r="F139" s="2">
        <v>45138</v>
      </c>
      <c r="G139" s="1">
        <v>34365</v>
      </c>
      <c r="H139" s="1">
        <v>274920</v>
      </c>
      <c r="I139" s="1">
        <v>61225.681443462803</v>
      </c>
    </row>
    <row r="140" spans="1:9">
      <c r="A140" s="1">
        <v>1139</v>
      </c>
      <c r="B140" s="1">
        <v>112</v>
      </c>
      <c r="C140" s="1" t="s">
        <v>35</v>
      </c>
      <c r="D140" s="1" t="s">
        <v>40</v>
      </c>
      <c r="E140" s="1">
        <v>2</v>
      </c>
      <c r="F140" s="2">
        <v>44951</v>
      </c>
      <c r="G140" s="1">
        <v>34365</v>
      </c>
      <c r="H140" s="1">
        <v>68730</v>
      </c>
      <c r="I140" s="1">
        <v>16123.511346302001</v>
      </c>
    </row>
    <row r="141" spans="1:9">
      <c r="A141" s="1">
        <v>1140</v>
      </c>
      <c r="B141" s="1">
        <v>120</v>
      </c>
      <c r="C141" s="1" t="s">
        <v>44</v>
      </c>
      <c r="D141" s="1" t="s">
        <v>43</v>
      </c>
      <c r="E141" s="1">
        <v>5</v>
      </c>
      <c r="F141" s="2">
        <v>45506</v>
      </c>
      <c r="G141" s="1">
        <v>39145</v>
      </c>
      <c r="H141" s="1">
        <v>195725</v>
      </c>
      <c r="I141" s="1">
        <v>28016.081288169898</v>
      </c>
    </row>
    <row r="142" spans="1:9">
      <c r="A142" s="1">
        <v>1141</v>
      </c>
      <c r="B142" s="1">
        <v>111</v>
      </c>
      <c r="C142" s="1" t="s">
        <v>35</v>
      </c>
      <c r="D142" s="1" t="s">
        <v>42</v>
      </c>
      <c r="E142" s="1">
        <v>9</v>
      </c>
      <c r="F142" s="2">
        <v>45320</v>
      </c>
      <c r="G142" s="1">
        <v>14664</v>
      </c>
      <c r="H142" s="1">
        <v>131976</v>
      </c>
      <c r="I142" s="1">
        <v>19290.588204056701</v>
      </c>
    </row>
    <row r="143" spans="1:9">
      <c r="A143" s="1">
        <v>1142</v>
      </c>
      <c r="B143" s="1">
        <v>107</v>
      </c>
      <c r="C143" s="1" t="s">
        <v>44</v>
      </c>
      <c r="D143" s="1" t="s">
        <v>38</v>
      </c>
      <c r="E143" s="1">
        <v>4</v>
      </c>
      <c r="F143" s="2">
        <v>44993</v>
      </c>
      <c r="G143" s="1">
        <v>39276</v>
      </c>
      <c r="H143" s="1">
        <v>157104</v>
      </c>
      <c r="I143" s="1">
        <v>36713.7822213728</v>
      </c>
    </row>
    <row r="144" spans="1:9">
      <c r="A144" s="1">
        <v>1143</v>
      </c>
      <c r="B144" s="1">
        <v>101</v>
      </c>
      <c r="C144" s="1" t="s">
        <v>35</v>
      </c>
      <c r="D144" s="1" t="s">
        <v>45</v>
      </c>
      <c r="E144" s="1">
        <v>6</v>
      </c>
      <c r="F144" s="2">
        <v>45159</v>
      </c>
      <c r="G144" s="1">
        <v>36970</v>
      </c>
      <c r="H144" s="1">
        <v>221820</v>
      </c>
      <c r="I144" s="1">
        <v>37135.694695594699</v>
      </c>
    </row>
    <row r="145" spans="1:9">
      <c r="A145" s="1">
        <v>1144</v>
      </c>
      <c r="B145" s="1">
        <v>101</v>
      </c>
      <c r="C145" s="1" t="s">
        <v>37</v>
      </c>
      <c r="D145" s="1" t="s">
        <v>45</v>
      </c>
      <c r="E145" s="1">
        <v>1</v>
      </c>
      <c r="F145" s="2">
        <v>45035</v>
      </c>
      <c r="G145" s="1">
        <v>36970</v>
      </c>
      <c r="H145" s="1">
        <v>36970</v>
      </c>
      <c r="I145" s="1">
        <v>2091.3682797799802</v>
      </c>
    </row>
    <row r="146" spans="1:9">
      <c r="A146" s="1">
        <v>1145</v>
      </c>
      <c r="B146" s="1">
        <v>120</v>
      </c>
      <c r="C146" s="1" t="s">
        <v>41</v>
      </c>
      <c r="D146" s="1" t="s">
        <v>40</v>
      </c>
      <c r="E146" s="1">
        <v>9</v>
      </c>
      <c r="F146" s="2">
        <v>45072</v>
      </c>
      <c r="G146" s="1">
        <v>39145</v>
      </c>
      <c r="H146" s="1">
        <v>352305</v>
      </c>
      <c r="I146" s="1">
        <v>81928.489903926296</v>
      </c>
    </row>
    <row r="147" spans="1:9">
      <c r="A147" s="1">
        <v>1146</v>
      </c>
      <c r="B147" s="1">
        <v>113</v>
      </c>
      <c r="C147" s="1" t="s">
        <v>44</v>
      </c>
      <c r="D147" s="1" t="s">
        <v>43</v>
      </c>
      <c r="E147" s="1">
        <v>1</v>
      </c>
      <c r="F147" s="2">
        <v>45037</v>
      </c>
      <c r="G147" s="1">
        <v>4587</v>
      </c>
      <c r="H147" s="1">
        <v>4587</v>
      </c>
      <c r="I147" s="1">
        <v>457.07293858541101</v>
      </c>
    </row>
    <row r="148" spans="1:9">
      <c r="A148" s="1">
        <v>1147</v>
      </c>
      <c r="B148" s="1">
        <v>109</v>
      </c>
      <c r="C148" s="1" t="s">
        <v>44</v>
      </c>
      <c r="D148" s="1" t="s">
        <v>36</v>
      </c>
      <c r="E148" s="1">
        <v>5</v>
      </c>
      <c r="F148" s="2">
        <v>45154</v>
      </c>
      <c r="G148" s="1">
        <v>23978</v>
      </c>
      <c r="H148" s="1">
        <v>119890</v>
      </c>
      <c r="I148" s="1">
        <v>19844.9589952071</v>
      </c>
    </row>
    <row r="149" spans="1:9">
      <c r="A149" s="1">
        <v>1148</v>
      </c>
      <c r="B149" s="1">
        <v>103</v>
      </c>
      <c r="C149" s="1" t="s">
        <v>41</v>
      </c>
      <c r="D149" s="1" t="s">
        <v>36</v>
      </c>
      <c r="E149" s="1">
        <v>4</v>
      </c>
      <c r="F149" s="2">
        <v>45037</v>
      </c>
      <c r="G149" s="1">
        <v>21175</v>
      </c>
      <c r="H149" s="1">
        <v>84700</v>
      </c>
      <c r="I149" s="1">
        <v>7038.7955972298796</v>
      </c>
    </row>
    <row r="150" spans="1:9">
      <c r="A150" s="1">
        <v>1149</v>
      </c>
      <c r="B150" s="1">
        <v>107</v>
      </c>
      <c r="C150" s="1" t="s">
        <v>44</v>
      </c>
      <c r="D150" s="1" t="s">
        <v>45</v>
      </c>
      <c r="E150" s="1">
        <v>3</v>
      </c>
      <c r="F150" s="2">
        <v>45396</v>
      </c>
      <c r="G150" s="1">
        <v>39276</v>
      </c>
      <c r="H150" s="1">
        <v>117828</v>
      </c>
      <c r="I150" s="1">
        <v>6689.7827387071602</v>
      </c>
    </row>
    <row r="151" spans="1:9">
      <c r="A151" s="1">
        <v>1150</v>
      </c>
      <c r="B151" s="1">
        <v>106</v>
      </c>
      <c r="C151" s="1" t="s">
        <v>44</v>
      </c>
      <c r="D151" s="1" t="s">
        <v>40</v>
      </c>
      <c r="E151" s="1">
        <v>6</v>
      </c>
      <c r="F151" s="2">
        <v>44960</v>
      </c>
      <c r="G151" s="1">
        <v>20269</v>
      </c>
      <c r="H151" s="1">
        <v>121614</v>
      </c>
      <c r="I151" s="1">
        <v>13656.599646827801</v>
      </c>
    </row>
    <row r="152" spans="1:9">
      <c r="A152" s="1">
        <v>1151</v>
      </c>
      <c r="B152" s="1">
        <v>108</v>
      </c>
      <c r="C152" s="1" t="s">
        <v>35</v>
      </c>
      <c r="D152" s="1" t="s">
        <v>42</v>
      </c>
      <c r="E152" s="1">
        <v>2</v>
      </c>
      <c r="F152" s="2">
        <v>45549</v>
      </c>
      <c r="G152" s="1">
        <v>30446</v>
      </c>
      <c r="H152" s="1">
        <v>60892</v>
      </c>
      <c r="I152" s="1">
        <v>12549.788924779299</v>
      </c>
    </row>
    <row r="153" spans="1:9">
      <c r="A153" s="1">
        <v>1152</v>
      </c>
      <c r="B153" s="1">
        <v>109</v>
      </c>
      <c r="C153" s="1" t="s">
        <v>44</v>
      </c>
      <c r="D153" s="1" t="s">
        <v>36</v>
      </c>
      <c r="E153" s="1">
        <v>3</v>
      </c>
      <c r="F153" s="2">
        <v>45295</v>
      </c>
      <c r="G153" s="1">
        <v>23978</v>
      </c>
      <c r="H153" s="1">
        <v>71934</v>
      </c>
      <c r="I153" s="1">
        <v>7590.2911351849098</v>
      </c>
    </row>
    <row r="154" spans="1:9">
      <c r="A154" s="1">
        <v>1153</v>
      </c>
      <c r="B154" s="1">
        <v>105</v>
      </c>
      <c r="C154" s="1" t="s">
        <v>37</v>
      </c>
      <c r="D154" s="1" t="s">
        <v>42</v>
      </c>
      <c r="E154" s="1">
        <v>5</v>
      </c>
      <c r="F154" s="2">
        <v>45521</v>
      </c>
      <c r="G154" s="1">
        <v>18639</v>
      </c>
      <c r="H154" s="1">
        <v>93195</v>
      </c>
      <c r="I154" s="1">
        <v>8762.1419732575705</v>
      </c>
    </row>
    <row r="155" spans="1:9">
      <c r="A155" s="1">
        <v>1154</v>
      </c>
      <c r="B155" s="1">
        <v>101</v>
      </c>
      <c r="C155" s="1" t="s">
        <v>37</v>
      </c>
      <c r="D155" s="1" t="s">
        <v>43</v>
      </c>
      <c r="E155" s="1">
        <v>9</v>
      </c>
      <c r="F155" s="2">
        <v>45480</v>
      </c>
      <c r="G155" s="1">
        <v>36970</v>
      </c>
      <c r="H155" s="1">
        <v>332730</v>
      </c>
      <c r="I155" s="1">
        <v>30789.555474771201</v>
      </c>
    </row>
    <row r="156" spans="1:9">
      <c r="A156" s="1">
        <v>1155</v>
      </c>
      <c r="B156" s="1">
        <v>119</v>
      </c>
      <c r="C156" s="1" t="s">
        <v>41</v>
      </c>
      <c r="D156" s="1" t="s">
        <v>36</v>
      </c>
      <c r="E156" s="1">
        <v>2</v>
      </c>
      <c r="F156" s="2">
        <v>45351</v>
      </c>
      <c r="G156" s="1">
        <v>18864</v>
      </c>
      <c r="H156" s="1">
        <v>37728</v>
      </c>
      <c r="I156" s="1">
        <v>5773.6945379688405</v>
      </c>
    </row>
    <row r="157" spans="1:9">
      <c r="A157" s="1">
        <v>1156</v>
      </c>
      <c r="B157" s="1">
        <v>110</v>
      </c>
      <c r="C157" s="1" t="s">
        <v>44</v>
      </c>
      <c r="D157" s="1" t="s">
        <v>36</v>
      </c>
      <c r="E157" s="1">
        <v>8</v>
      </c>
      <c r="F157" s="2">
        <v>45539</v>
      </c>
      <c r="G157" s="1">
        <v>35299</v>
      </c>
      <c r="H157" s="1">
        <v>282392</v>
      </c>
      <c r="I157" s="1">
        <v>69216.612643657005</v>
      </c>
    </row>
    <row r="158" spans="1:9">
      <c r="A158" s="1">
        <v>1157</v>
      </c>
      <c r="B158" s="1">
        <v>112</v>
      </c>
      <c r="C158" s="1" t="s">
        <v>41</v>
      </c>
      <c r="D158" s="1" t="s">
        <v>46</v>
      </c>
      <c r="E158" s="1">
        <v>2</v>
      </c>
      <c r="F158" s="2">
        <v>45444</v>
      </c>
      <c r="G158" s="1">
        <v>34365</v>
      </c>
      <c r="H158" s="1">
        <v>68730</v>
      </c>
      <c r="I158" s="1">
        <v>9745.7626292818604</v>
      </c>
    </row>
    <row r="159" spans="1:9">
      <c r="A159" s="1">
        <v>1158</v>
      </c>
      <c r="B159" s="1">
        <v>115</v>
      </c>
      <c r="C159" s="1" t="s">
        <v>37</v>
      </c>
      <c r="D159" s="1" t="s">
        <v>36</v>
      </c>
      <c r="E159" s="1">
        <v>5</v>
      </c>
      <c r="F159" s="2">
        <v>45618</v>
      </c>
      <c r="G159" s="1">
        <v>45111</v>
      </c>
      <c r="H159" s="1">
        <v>225555</v>
      </c>
      <c r="I159" s="1">
        <v>36418.352495999003</v>
      </c>
    </row>
    <row r="160" spans="1:9">
      <c r="A160" s="1">
        <v>1159</v>
      </c>
      <c r="B160" s="1">
        <v>109</v>
      </c>
      <c r="C160" s="1" t="s">
        <v>44</v>
      </c>
      <c r="D160" s="1" t="s">
        <v>39</v>
      </c>
      <c r="E160" s="1">
        <v>7</v>
      </c>
      <c r="F160" s="2">
        <v>45208</v>
      </c>
      <c r="G160" s="1">
        <v>23978</v>
      </c>
      <c r="H160" s="1">
        <v>167846</v>
      </c>
      <c r="I160" s="1">
        <v>37283.0283349776</v>
      </c>
    </row>
    <row r="161" spans="1:9">
      <c r="A161" s="1">
        <v>1160</v>
      </c>
      <c r="B161" s="1">
        <v>120</v>
      </c>
      <c r="C161" s="1" t="s">
        <v>44</v>
      </c>
      <c r="D161" s="1" t="s">
        <v>38</v>
      </c>
      <c r="E161" s="1">
        <v>8</v>
      </c>
      <c r="F161" s="2">
        <v>45246</v>
      </c>
      <c r="G161" s="1">
        <v>39145</v>
      </c>
      <c r="H161" s="1">
        <v>313160</v>
      </c>
      <c r="I161" s="1">
        <v>49170.486636252899</v>
      </c>
    </row>
    <row r="162" spans="1:9">
      <c r="A162" s="1">
        <v>1161</v>
      </c>
      <c r="B162" s="1">
        <v>117</v>
      </c>
      <c r="C162" s="1" t="s">
        <v>41</v>
      </c>
      <c r="D162" s="1" t="s">
        <v>39</v>
      </c>
      <c r="E162" s="1">
        <v>1</v>
      </c>
      <c r="F162" s="2">
        <v>45369</v>
      </c>
      <c r="G162" s="1">
        <v>3922</v>
      </c>
      <c r="H162" s="1">
        <v>3922</v>
      </c>
      <c r="I162" s="1">
        <v>340.792676340951</v>
      </c>
    </row>
    <row r="163" spans="1:9">
      <c r="A163" s="1">
        <v>1162</v>
      </c>
      <c r="B163" s="1">
        <v>117</v>
      </c>
      <c r="C163" s="1" t="s">
        <v>37</v>
      </c>
      <c r="D163" s="1" t="s">
        <v>40</v>
      </c>
      <c r="E163" s="1">
        <v>6</v>
      </c>
      <c r="F163" s="2">
        <v>45241</v>
      </c>
      <c r="G163" s="1">
        <v>3922</v>
      </c>
      <c r="H163" s="1">
        <v>23532</v>
      </c>
      <c r="I163" s="1">
        <v>2586.6181991377498</v>
      </c>
    </row>
    <row r="164" spans="1:9">
      <c r="A164" s="1">
        <v>1163</v>
      </c>
      <c r="B164" s="1">
        <v>120</v>
      </c>
      <c r="C164" s="1" t="s">
        <v>44</v>
      </c>
      <c r="D164" s="1" t="s">
        <v>40</v>
      </c>
      <c r="E164" s="1">
        <v>1</v>
      </c>
      <c r="F164" s="2">
        <v>45303</v>
      </c>
      <c r="G164" s="1">
        <v>39145</v>
      </c>
      <c r="H164" s="1">
        <v>39145</v>
      </c>
      <c r="I164" s="1">
        <v>4383.7461957569503</v>
      </c>
    </row>
    <row r="165" spans="1:9">
      <c r="A165" s="1">
        <v>1164</v>
      </c>
      <c r="B165" s="1">
        <v>112</v>
      </c>
      <c r="C165" s="1" t="s">
        <v>41</v>
      </c>
      <c r="D165" s="1" t="s">
        <v>42</v>
      </c>
      <c r="E165" s="1">
        <v>2</v>
      </c>
      <c r="F165" s="2">
        <v>45215</v>
      </c>
      <c r="G165" s="1">
        <v>34365</v>
      </c>
      <c r="H165" s="1">
        <v>68730</v>
      </c>
      <c r="I165" s="1">
        <v>8898.0348150801401</v>
      </c>
    </row>
    <row r="166" spans="1:9">
      <c r="A166" s="1">
        <v>1165</v>
      </c>
      <c r="B166" s="1">
        <v>107</v>
      </c>
      <c r="C166" s="1" t="s">
        <v>37</v>
      </c>
      <c r="D166" s="1" t="s">
        <v>39</v>
      </c>
      <c r="E166" s="1">
        <v>1</v>
      </c>
      <c r="F166" s="2">
        <v>45363</v>
      </c>
      <c r="G166" s="1">
        <v>39276</v>
      </c>
      <c r="H166" s="1">
        <v>39276</v>
      </c>
      <c r="I166" s="1">
        <v>5316.31220920124</v>
      </c>
    </row>
    <row r="167" spans="1:9">
      <c r="A167" s="1">
        <v>1166</v>
      </c>
      <c r="B167" s="1">
        <v>102</v>
      </c>
      <c r="C167" s="1" t="s">
        <v>41</v>
      </c>
      <c r="D167" s="1" t="s">
        <v>39</v>
      </c>
      <c r="E167" s="1">
        <v>5</v>
      </c>
      <c r="F167" s="2">
        <v>45588</v>
      </c>
      <c r="G167" s="1">
        <v>20365</v>
      </c>
      <c r="H167" s="1">
        <v>101825</v>
      </c>
      <c r="I167" s="1">
        <v>21378.8108795425</v>
      </c>
    </row>
    <row r="168" spans="1:9">
      <c r="A168" s="1">
        <v>1167</v>
      </c>
      <c r="B168" s="1">
        <v>103</v>
      </c>
      <c r="C168" s="1" t="s">
        <v>35</v>
      </c>
      <c r="D168" s="1" t="s">
        <v>39</v>
      </c>
      <c r="E168" s="1">
        <v>9</v>
      </c>
      <c r="F168" s="2">
        <v>45203</v>
      </c>
      <c r="G168" s="1">
        <v>21175</v>
      </c>
      <c r="H168" s="1">
        <v>190575</v>
      </c>
      <c r="I168" s="1">
        <v>22845.6354687653</v>
      </c>
    </row>
    <row r="169" spans="1:9">
      <c r="A169" s="1">
        <v>1168</v>
      </c>
      <c r="B169" s="1">
        <v>117</v>
      </c>
      <c r="C169" s="1" t="s">
        <v>44</v>
      </c>
      <c r="D169" s="1" t="s">
        <v>43</v>
      </c>
      <c r="E169" s="1">
        <v>6</v>
      </c>
      <c r="F169" s="2">
        <v>45636</v>
      </c>
      <c r="G169" s="1">
        <v>3922</v>
      </c>
      <c r="H169" s="1">
        <v>23532</v>
      </c>
      <c r="I169" s="1">
        <v>3380.28627737651</v>
      </c>
    </row>
    <row r="170" spans="1:9">
      <c r="A170" s="1">
        <v>1169</v>
      </c>
      <c r="B170" s="1">
        <v>105</v>
      </c>
      <c r="C170" s="1" t="s">
        <v>35</v>
      </c>
      <c r="D170" s="1" t="s">
        <v>36</v>
      </c>
      <c r="E170" s="1">
        <v>1</v>
      </c>
      <c r="F170" s="2">
        <v>45508</v>
      </c>
      <c r="G170" s="1">
        <v>18639</v>
      </c>
      <c r="H170" s="1">
        <v>18639</v>
      </c>
      <c r="I170" s="1">
        <v>3261.7354845289101</v>
      </c>
    </row>
    <row r="171" spans="1:9">
      <c r="A171" s="1">
        <v>1170</v>
      </c>
      <c r="B171" s="1">
        <v>117</v>
      </c>
      <c r="C171" s="1" t="s">
        <v>37</v>
      </c>
      <c r="D171" s="1" t="s">
        <v>38</v>
      </c>
      <c r="E171" s="1">
        <v>1</v>
      </c>
      <c r="F171" s="2">
        <v>45429</v>
      </c>
      <c r="G171" s="1">
        <v>3922</v>
      </c>
      <c r="H171" s="1">
        <v>3922</v>
      </c>
      <c r="I171" s="1">
        <v>492.38823317206902</v>
      </c>
    </row>
    <row r="172" spans="1:9">
      <c r="A172" s="1">
        <v>1171</v>
      </c>
      <c r="B172" s="1">
        <v>117</v>
      </c>
      <c r="C172" s="1" t="s">
        <v>35</v>
      </c>
      <c r="D172" s="1" t="s">
        <v>42</v>
      </c>
      <c r="E172" s="1">
        <v>2</v>
      </c>
      <c r="F172" s="2">
        <v>45550</v>
      </c>
      <c r="G172" s="1">
        <v>3922</v>
      </c>
      <c r="H172" s="1">
        <v>7844</v>
      </c>
      <c r="I172" s="1">
        <v>1704.60287909301</v>
      </c>
    </row>
    <row r="173" spans="1:9">
      <c r="A173" s="1">
        <v>1172</v>
      </c>
      <c r="B173" s="1">
        <v>117</v>
      </c>
      <c r="C173" s="1" t="s">
        <v>35</v>
      </c>
      <c r="D173" s="1" t="s">
        <v>39</v>
      </c>
      <c r="E173" s="1">
        <v>9</v>
      </c>
      <c r="F173" s="2">
        <v>45442</v>
      </c>
      <c r="G173" s="1">
        <v>3922</v>
      </c>
      <c r="H173" s="1">
        <v>35298</v>
      </c>
      <c r="I173" s="1">
        <v>5912.0874644508704</v>
      </c>
    </row>
    <row r="174" spans="1:9">
      <c r="A174" s="1">
        <v>1173</v>
      </c>
      <c r="B174" s="1">
        <v>102</v>
      </c>
      <c r="C174" s="1" t="s">
        <v>37</v>
      </c>
      <c r="D174" s="1" t="s">
        <v>39</v>
      </c>
      <c r="E174" s="1">
        <v>3</v>
      </c>
      <c r="F174" s="2">
        <v>45276</v>
      </c>
      <c r="G174" s="1">
        <v>20365</v>
      </c>
      <c r="H174" s="1">
        <v>61095</v>
      </c>
      <c r="I174" s="1">
        <v>6647.6819354010504</v>
      </c>
    </row>
    <row r="175" spans="1:9">
      <c r="A175" s="1">
        <v>1174</v>
      </c>
      <c r="B175" s="1">
        <v>102</v>
      </c>
      <c r="C175" s="1" t="s">
        <v>41</v>
      </c>
      <c r="D175" s="1" t="s">
        <v>46</v>
      </c>
      <c r="E175" s="1">
        <v>1</v>
      </c>
      <c r="F175" s="2">
        <v>45372</v>
      </c>
      <c r="G175" s="1">
        <v>20365</v>
      </c>
      <c r="H175" s="1">
        <v>20365</v>
      </c>
      <c r="I175" s="1">
        <v>3926.6131207439698</v>
      </c>
    </row>
    <row r="176" spans="1:9">
      <c r="A176" s="1">
        <v>1175</v>
      </c>
      <c r="B176" s="1">
        <v>105</v>
      </c>
      <c r="C176" s="1" t="s">
        <v>35</v>
      </c>
      <c r="D176" s="1" t="s">
        <v>42</v>
      </c>
      <c r="E176" s="1">
        <v>5</v>
      </c>
      <c r="F176" s="2">
        <v>45276</v>
      </c>
      <c r="G176" s="1">
        <v>18639</v>
      </c>
      <c r="H176" s="1">
        <v>93195</v>
      </c>
      <c r="I176" s="1">
        <v>14494.576042168699</v>
      </c>
    </row>
    <row r="177" spans="1:9">
      <c r="A177" s="1">
        <v>1176</v>
      </c>
      <c r="B177" s="1">
        <v>101</v>
      </c>
      <c r="C177" s="1" t="s">
        <v>41</v>
      </c>
      <c r="D177" s="1" t="s">
        <v>39</v>
      </c>
      <c r="E177" s="1">
        <v>7</v>
      </c>
      <c r="F177" s="2">
        <v>45533</v>
      </c>
      <c r="G177" s="1">
        <v>36970</v>
      </c>
      <c r="H177" s="1">
        <v>258790</v>
      </c>
      <c r="I177" s="1">
        <v>40601.8680196926</v>
      </c>
    </row>
    <row r="178" spans="1:9">
      <c r="A178" s="1">
        <v>1177</v>
      </c>
      <c r="B178" s="1">
        <v>101</v>
      </c>
      <c r="C178" s="1" t="s">
        <v>35</v>
      </c>
      <c r="D178" s="1" t="s">
        <v>42</v>
      </c>
      <c r="E178" s="1">
        <v>6</v>
      </c>
      <c r="F178" s="2">
        <v>45590</v>
      </c>
      <c r="G178" s="1">
        <v>36970</v>
      </c>
      <c r="H178" s="1">
        <v>221820</v>
      </c>
      <c r="I178" s="1">
        <v>32433.985742266901</v>
      </c>
    </row>
    <row r="179" spans="1:9">
      <c r="A179" s="1">
        <v>1178</v>
      </c>
      <c r="B179" s="1">
        <v>119</v>
      </c>
      <c r="C179" s="1" t="s">
        <v>41</v>
      </c>
      <c r="D179" s="1" t="s">
        <v>36</v>
      </c>
      <c r="E179" s="1">
        <v>1</v>
      </c>
      <c r="F179" s="2">
        <v>45063</v>
      </c>
      <c r="G179" s="1">
        <v>18864</v>
      </c>
      <c r="H179" s="1">
        <v>18864</v>
      </c>
      <c r="I179" s="1">
        <v>2818.3266805128101</v>
      </c>
    </row>
    <row r="180" spans="1:9">
      <c r="A180" s="1">
        <v>1179</v>
      </c>
      <c r="B180" s="1">
        <v>102</v>
      </c>
      <c r="C180" s="1" t="s">
        <v>37</v>
      </c>
      <c r="D180" s="1" t="s">
        <v>46</v>
      </c>
      <c r="E180" s="1">
        <v>5</v>
      </c>
      <c r="F180" s="2">
        <v>45169</v>
      </c>
      <c r="G180" s="1">
        <v>20365</v>
      </c>
      <c r="H180" s="1">
        <v>101825</v>
      </c>
      <c r="I180" s="1">
        <v>20677.730663914001</v>
      </c>
    </row>
    <row r="181" spans="1:9">
      <c r="A181" s="1">
        <v>1180</v>
      </c>
      <c r="B181" s="1">
        <v>112</v>
      </c>
      <c r="C181" s="1" t="s">
        <v>35</v>
      </c>
      <c r="D181" s="1" t="s">
        <v>42</v>
      </c>
      <c r="E181" s="1">
        <v>5</v>
      </c>
      <c r="F181" s="2">
        <v>45469</v>
      </c>
      <c r="G181" s="1">
        <v>34365</v>
      </c>
      <c r="H181" s="1">
        <v>171825</v>
      </c>
      <c r="I181" s="1">
        <v>12130.2085372207</v>
      </c>
    </row>
    <row r="182" spans="1:9">
      <c r="A182" s="1">
        <v>1181</v>
      </c>
      <c r="B182" s="1">
        <v>106</v>
      </c>
      <c r="C182" s="1" t="s">
        <v>37</v>
      </c>
      <c r="D182" s="1" t="s">
        <v>38</v>
      </c>
      <c r="E182" s="1">
        <v>6</v>
      </c>
      <c r="F182" s="2">
        <v>44966</v>
      </c>
      <c r="G182" s="1">
        <v>20269</v>
      </c>
      <c r="H182" s="1">
        <v>121614</v>
      </c>
      <c r="I182" s="1">
        <v>14213.339786942601</v>
      </c>
    </row>
    <row r="183" spans="1:9">
      <c r="A183" s="1">
        <v>1182</v>
      </c>
      <c r="B183" s="1">
        <v>104</v>
      </c>
      <c r="C183" s="1" t="s">
        <v>35</v>
      </c>
      <c r="D183" s="1" t="s">
        <v>38</v>
      </c>
      <c r="E183" s="1">
        <v>3</v>
      </c>
      <c r="F183" s="2">
        <v>45155</v>
      </c>
      <c r="G183" s="1">
        <v>42430</v>
      </c>
      <c r="H183" s="1">
        <v>127290</v>
      </c>
      <c r="I183" s="1">
        <v>8286.6646357194095</v>
      </c>
    </row>
    <row r="184" spans="1:9">
      <c r="A184" s="1">
        <v>1183</v>
      </c>
      <c r="B184" s="1">
        <v>111</v>
      </c>
      <c r="C184" s="1" t="s">
        <v>37</v>
      </c>
      <c r="D184" s="1" t="s">
        <v>40</v>
      </c>
      <c r="E184" s="1">
        <v>5</v>
      </c>
      <c r="F184" s="2">
        <v>45474</v>
      </c>
      <c r="G184" s="1">
        <v>14664</v>
      </c>
      <c r="H184" s="1">
        <v>73320</v>
      </c>
      <c r="I184" s="1">
        <v>14711.602581040601</v>
      </c>
    </row>
    <row r="185" spans="1:9">
      <c r="A185" s="1">
        <v>1184</v>
      </c>
      <c r="B185" s="1">
        <v>117</v>
      </c>
      <c r="C185" s="1" t="s">
        <v>37</v>
      </c>
      <c r="D185" s="1" t="s">
        <v>46</v>
      </c>
      <c r="E185" s="1">
        <v>7</v>
      </c>
      <c r="F185" s="2">
        <v>45149</v>
      </c>
      <c r="G185" s="1">
        <v>3922</v>
      </c>
      <c r="H185" s="1">
        <v>27454</v>
      </c>
      <c r="I185" s="1">
        <v>2867.8550238982202</v>
      </c>
    </row>
    <row r="186" spans="1:9">
      <c r="A186" s="1">
        <v>1185</v>
      </c>
      <c r="B186" s="1">
        <v>106</v>
      </c>
      <c r="C186" s="1" t="s">
        <v>35</v>
      </c>
      <c r="D186" s="1" t="s">
        <v>46</v>
      </c>
      <c r="E186" s="1">
        <v>5</v>
      </c>
      <c r="F186" s="2">
        <v>44932</v>
      </c>
      <c r="G186" s="1">
        <v>20269</v>
      </c>
      <c r="H186" s="1">
        <v>101345</v>
      </c>
      <c r="I186" s="1">
        <v>23257.266976619001</v>
      </c>
    </row>
    <row r="187" spans="1:9">
      <c r="A187" s="1">
        <v>1186</v>
      </c>
      <c r="B187" s="1">
        <v>105</v>
      </c>
      <c r="C187" s="1" t="s">
        <v>35</v>
      </c>
      <c r="D187" s="1" t="s">
        <v>40</v>
      </c>
      <c r="E187" s="1">
        <v>5</v>
      </c>
      <c r="F187" s="2">
        <v>45248</v>
      </c>
      <c r="G187" s="1">
        <v>18639</v>
      </c>
      <c r="H187" s="1">
        <v>93195</v>
      </c>
      <c r="I187" s="1">
        <v>14474.6460400626</v>
      </c>
    </row>
    <row r="188" spans="1:9">
      <c r="A188" s="1">
        <v>1187</v>
      </c>
      <c r="B188" s="1">
        <v>120</v>
      </c>
      <c r="C188" s="1" t="s">
        <v>35</v>
      </c>
      <c r="D188" s="1" t="s">
        <v>42</v>
      </c>
      <c r="E188" s="1">
        <v>5</v>
      </c>
      <c r="F188" s="2">
        <v>45394</v>
      </c>
      <c r="G188" s="1">
        <v>39145</v>
      </c>
      <c r="H188" s="1">
        <v>195725</v>
      </c>
      <c r="I188" s="1">
        <v>41131.599804824204</v>
      </c>
    </row>
    <row r="189" spans="1:9">
      <c r="A189" s="1">
        <v>1188</v>
      </c>
      <c r="B189" s="1">
        <v>102</v>
      </c>
      <c r="C189" s="1" t="s">
        <v>44</v>
      </c>
      <c r="D189" s="1" t="s">
        <v>46</v>
      </c>
      <c r="E189" s="1">
        <v>3</v>
      </c>
      <c r="F189" s="2">
        <v>45001</v>
      </c>
      <c r="G189" s="1">
        <v>20365</v>
      </c>
      <c r="H189" s="1">
        <v>61095</v>
      </c>
      <c r="I189" s="1">
        <v>15016.313211791399</v>
      </c>
    </row>
    <row r="190" spans="1:9">
      <c r="A190" s="1">
        <v>1189</v>
      </c>
      <c r="B190" s="1">
        <v>106</v>
      </c>
      <c r="C190" s="1" t="s">
        <v>41</v>
      </c>
      <c r="D190" s="1" t="s">
        <v>38</v>
      </c>
      <c r="E190" s="1">
        <v>1</v>
      </c>
      <c r="F190" s="2">
        <v>44930</v>
      </c>
      <c r="G190" s="1">
        <v>20269</v>
      </c>
      <c r="H190" s="1">
        <v>20269</v>
      </c>
      <c r="I190" s="1">
        <v>4417.7860784650502</v>
      </c>
    </row>
    <row r="191" spans="1:9">
      <c r="A191" s="1">
        <v>1190</v>
      </c>
      <c r="B191" s="1">
        <v>111</v>
      </c>
      <c r="C191" s="1" t="s">
        <v>44</v>
      </c>
      <c r="D191" s="1" t="s">
        <v>38</v>
      </c>
      <c r="E191" s="1">
        <v>5</v>
      </c>
      <c r="F191" s="2">
        <v>45572</v>
      </c>
      <c r="G191" s="1">
        <v>14664</v>
      </c>
      <c r="H191" s="1">
        <v>73320</v>
      </c>
      <c r="I191" s="1">
        <v>16379.596496808999</v>
      </c>
    </row>
    <row r="192" spans="1:9">
      <c r="A192" s="1">
        <v>1191</v>
      </c>
      <c r="B192" s="1">
        <v>116</v>
      </c>
      <c r="C192" s="1" t="s">
        <v>44</v>
      </c>
      <c r="D192" s="1" t="s">
        <v>39</v>
      </c>
      <c r="E192" s="1">
        <v>9</v>
      </c>
      <c r="F192" s="2">
        <v>45044</v>
      </c>
      <c r="G192" s="1">
        <v>26393</v>
      </c>
      <c r="H192" s="1">
        <v>237537</v>
      </c>
      <c r="I192" s="1">
        <v>31259.132615095801</v>
      </c>
    </row>
    <row r="193" spans="1:9">
      <c r="A193" s="1">
        <v>1192</v>
      </c>
      <c r="B193" s="1">
        <v>116</v>
      </c>
      <c r="C193" s="1" t="s">
        <v>37</v>
      </c>
      <c r="D193" s="1" t="s">
        <v>36</v>
      </c>
      <c r="E193" s="1">
        <v>1</v>
      </c>
      <c r="F193" s="2">
        <v>45532</v>
      </c>
      <c r="G193" s="1">
        <v>26393</v>
      </c>
      <c r="H193" s="1">
        <v>26393</v>
      </c>
      <c r="I193" s="1">
        <v>4231.9728913359504</v>
      </c>
    </row>
    <row r="194" spans="1:9">
      <c r="A194" s="1">
        <v>1193</v>
      </c>
      <c r="B194" s="1">
        <v>101</v>
      </c>
      <c r="C194" s="1" t="s">
        <v>35</v>
      </c>
      <c r="D194" s="1" t="s">
        <v>46</v>
      </c>
      <c r="E194" s="1">
        <v>3</v>
      </c>
      <c r="F194" s="2">
        <v>45430</v>
      </c>
      <c r="G194" s="1">
        <v>36970</v>
      </c>
      <c r="H194" s="1">
        <v>110910</v>
      </c>
      <c r="I194" s="1">
        <v>11177.2561276086</v>
      </c>
    </row>
    <row r="195" spans="1:9">
      <c r="A195" s="1">
        <v>1194</v>
      </c>
      <c r="B195" s="1">
        <v>109</v>
      </c>
      <c r="C195" s="1" t="s">
        <v>41</v>
      </c>
      <c r="D195" s="1" t="s">
        <v>42</v>
      </c>
      <c r="E195" s="1">
        <v>4</v>
      </c>
      <c r="F195" s="2">
        <v>45500</v>
      </c>
      <c r="G195" s="1">
        <v>23978</v>
      </c>
      <c r="H195" s="1">
        <v>95912</v>
      </c>
      <c r="I195" s="1">
        <v>8557.5199235596901</v>
      </c>
    </row>
    <row r="196" spans="1:9">
      <c r="A196" s="1">
        <v>1195</v>
      </c>
      <c r="B196" s="1">
        <v>106</v>
      </c>
      <c r="C196" s="1" t="s">
        <v>37</v>
      </c>
      <c r="D196" s="1" t="s">
        <v>40</v>
      </c>
      <c r="E196" s="1">
        <v>1</v>
      </c>
      <c r="F196" s="2">
        <v>45367</v>
      </c>
      <c r="G196" s="1">
        <v>20269</v>
      </c>
      <c r="H196" s="1">
        <v>20269</v>
      </c>
      <c r="I196" s="1">
        <v>3062.6778403200401</v>
      </c>
    </row>
    <row r="197" spans="1:9">
      <c r="A197" s="1">
        <v>1196</v>
      </c>
      <c r="B197" s="1">
        <v>116</v>
      </c>
      <c r="C197" s="1" t="s">
        <v>44</v>
      </c>
      <c r="D197" s="1" t="s">
        <v>40</v>
      </c>
      <c r="E197" s="1">
        <v>1</v>
      </c>
      <c r="F197" s="2">
        <v>45120</v>
      </c>
      <c r="G197" s="1">
        <v>26393</v>
      </c>
      <c r="H197" s="1">
        <v>26393</v>
      </c>
      <c r="I197" s="1">
        <v>4460.6755442466401</v>
      </c>
    </row>
    <row r="198" spans="1:9">
      <c r="A198" s="1">
        <v>1197</v>
      </c>
      <c r="B198" s="1">
        <v>103</v>
      </c>
      <c r="C198" s="1" t="s">
        <v>35</v>
      </c>
      <c r="D198" s="1" t="s">
        <v>42</v>
      </c>
      <c r="E198" s="1">
        <v>8</v>
      </c>
      <c r="F198" s="2">
        <v>45641</v>
      </c>
      <c r="G198" s="1">
        <v>21175</v>
      </c>
      <c r="H198" s="1">
        <v>169400</v>
      </c>
      <c r="I198" s="1">
        <v>19964.509810963002</v>
      </c>
    </row>
    <row r="199" spans="1:9">
      <c r="A199" s="1">
        <v>1198</v>
      </c>
      <c r="B199" s="1">
        <v>120</v>
      </c>
      <c r="C199" s="1" t="s">
        <v>37</v>
      </c>
      <c r="D199" s="1" t="s">
        <v>43</v>
      </c>
      <c r="E199" s="1">
        <v>2</v>
      </c>
      <c r="F199" s="2">
        <v>45318</v>
      </c>
      <c r="G199" s="1">
        <v>39145</v>
      </c>
      <c r="H199" s="1">
        <v>78290</v>
      </c>
      <c r="I199" s="1">
        <v>12830.8466011409</v>
      </c>
    </row>
    <row r="200" spans="1:9">
      <c r="A200" s="1">
        <v>1199</v>
      </c>
      <c r="B200" s="1">
        <v>104</v>
      </c>
      <c r="C200" s="1" t="s">
        <v>35</v>
      </c>
      <c r="D200" s="1" t="s">
        <v>45</v>
      </c>
      <c r="E200" s="1">
        <v>8</v>
      </c>
      <c r="F200" s="2">
        <v>44952</v>
      </c>
      <c r="G200" s="1">
        <v>42430</v>
      </c>
      <c r="H200" s="1">
        <v>339440</v>
      </c>
      <c r="I200" s="1">
        <v>77219.917236876703</v>
      </c>
    </row>
    <row r="201" spans="1:9">
      <c r="A201" s="1">
        <v>1200</v>
      </c>
      <c r="B201" s="1">
        <v>119</v>
      </c>
      <c r="C201" s="1" t="s">
        <v>37</v>
      </c>
      <c r="D201" s="1" t="s">
        <v>36</v>
      </c>
      <c r="E201" s="1">
        <v>7</v>
      </c>
      <c r="F201" s="2">
        <v>45361</v>
      </c>
      <c r="G201" s="1">
        <v>18864</v>
      </c>
      <c r="H201" s="1">
        <v>132048</v>
      </c>
      <c r="I201" s="1">
        <v>21305.194365494801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A27B-B72C-46CB-9C5C-31892C74CC4A}">
  <dimension ref="C3:P16"/>
  <sheetViews>
    <sheetView zoomScale="145" zoomScaleNormal="145" workbookViewId="0">
      <selection activeCell="J3" sqref="J3:O14"/>
    </sheetView>
  </sheetViews>
  <sheetFormatPr defaultRowHeight="14.4"/>
  <sheetData>
    <row r="3" spans="3:16">
      <c r="H3">
        <f>D9</f>
        <v>25000</v>
      </c>
      <c r="J3">
        <f>D9</f>
        <v>25000</v>
      </c>
      <c r="K3">
        <v>1</v>
      </c>
      <c r="L3">
        <v>2</v>
      </c>
      <c r="M3">
        <v>3</v>
      </c>
      <c r="N3">
        <v>4</v>
      </c>
      <c r="O3">
        <v>5</v>
      </c>
    </row>
    <row r="4" spans="3:16">
      <c r="G4">
        <v>500</v>
      </c>
      <c r="H4">
        <f t="dataTable" ref="H4:H14" dt2D="0" dtr="0" r1="D5"/>
        <v>25000</v>
      </c>
      <c r="J4">
        <v>100</v>
      </c>
      <c r="K4">
        <f t="dataTable" ref="K4:O14" dt2D="1" dtr="1" r1="D7" r2="D5" ca="1"/>
        <v>5000</v>
      </c>
      <c r="L4">
        <v>10000</v>
      </c>
      <c r="M4">
        <v>15000</v>
      </c>
      <c r="N4">
        <v>20000</v>
      </c>
      <c r="O4">
        <v>25000</v>
      </c>
    </row>
    <row r="5" spans="3:16">
      <c r="C5" t="s">
        <v>52</v>
      </c>
      <c r="D5">
        <v>500</v>
      </c>
      <c r="G5">
        <v>600</v>
      </c>
      <c r="H5">
        <v>30000</v>
      </c>
      <c r="J5">
        <v>200</v>
      </c>
      <c r="K5">
        <v>10000</v>
      </c>
      <c r="L5">
        <v>20000</v>
      </c>
      <c r="M5">
        <v>30000</v>
      </c>
      <c r="N5">
        <v>40000</v>
      </c>
      <c r="O5">
        <v>50000</v>
      </c>
    </row>
    <row r="6" spans="3:16">
      <c r="C6" t="s">
        <v>53</v>
      </c>
      <c r="D6">
        <v>50</v>
      </c>
      <c r="G6">
        <v>700</v>
      </c>
      <c r="H6">
        <v>35000</v>
      </c>
      <c r="J6">
        <v>300</v>
      </c>
      <c r="K6">
        <v>15000</v>
      </c>
      <c r="L6">
        <v>30000</v>
      </c>
      <c r="M6">
        <v>45000</v>
      </c>
      <c r="N6">
        <v>60000</v>
      </c>
      <c r="O6">
        <v>75000</v>
      </c>
    </row>
    <row r="7" spans="3:16">
      <c r="C7" t="s">
        <v>54</v>
      </c>
      <c r="D7">
        <v>1</v>
      </c>
      <c r="G7">
        <v>800</v>
      </c>
      <c r="H7">
        <v>40000</v>
      </c>
      <c r="J7">
        <v>400</v>
      </c>
      <c r="K7">
        <v>20000</v>
      </c>
      <c r="L7">
        <v>40000</v>
      </c>
      <c r="M7">
        <v>60000</v>
      </c>
      <c r="N7">
        <v>80000</v>
      </c>
      <c r="O7">
        <v>100000</v>
      </c>
    </row>
    <row r="8" spans="3:16">
      <c r="G8">
        <v>900</v>
      </c>
      <c r="H8">
        <v>45000</v>
      </c>
      <c r="J8">
        <v>500</v>
      </c>
      <c r="K8">
        <v>25000</v>
      </c>
      <c r="L8">
        <v>50000</v>
      </c>
      <c r="M8">
        <v>75000</v>
      </c>
      <c r="N8">
        <v>100000</v>
      </c>
      <c r="O8">
        <v>125000</v>
      </c>
    </row>
    <row r="9" spans="3:16">
      <c r="C9" t="s">
        <v>55</v>
      </c>
      <c r="D9">
        <f>(D5*D6)*D7</f>
        <v>25000</v>
      </c>
      <c r="G9">
        <v>1000</v>
      </c>
      <c r="H9">
        <v>50000</v>
      </c>
      <c r="J9">
        <v>600</v>
      </c>
      <c r="K9">
        <v>30000</v>
      </c>
      <c r="L9">
        <v>60000</v>
      </c>
      <c r="M9">
        <v>90000</v>
      </c>
      <c r="N9">
        <v>120000</v>
      </c>
      <c r="O9">
        <v>150000</v>
      </c>
    </row>
    <row r="10" spans="3:16">
      <c r="G10">
        <v>1100</v>
      </c>
      <c r="H10">
        <v>55000</v>
      </c>
      <c r="J10">
        <v>700</v>
      </c>
      <c r="K10">
        <v>35000</v>
      </c>
      <c r="L10">
        <v>70000</v>
      </c>
      <c r="M10">
        <v>105000</v>
      </c>
      <c r="N10">
        <v>140000</v>
      </c>
      <c r="O10">
        <v>175000</v>
      </c>
    </row>
    <row r="11" spans="3:16">
      <c r="G11">
        <v>1200</v>
      </c>
      <c r="H11">
        <v>60000</v>
      </c>
      <c r="J11">
        <v>800</v>
      </c>
      <c r="K11">
        <v>40000</v>
      </c>
      <c r="L11">
        <v>80000</v>
      </c>
      <c r="M11">
        <v>120000</v>
      </c>
      <c r="N11">
        <v>160000</v>
      </c>
      <c r="O11">
        <v>200000</v>
      </c>
    </row>
    <row r="12" spans="3:16">
      <c r="G12">
        <v>1300</v>
      </c>
      <c r="H12">
        <v>65000</v>
      </c>
      <c r="J12">
        <v>900</v>
      </c>
      <c r="K12">
        <v>45000</v>
      </c>
      <c r="L12">
        <v>90000</v>
      </c>
      <c r="M12">
        <v>135000</v>
      </c>
      <c r="N12">
        <v>180000</v>
      </c>
      <c r="O12">
        <v>225000</v>
      </c>
    </row>
    <row r="13" spans="3:16">
      <c r="G13">
        <v>1400</v>
      </c>
      <c r="H13">
        <v>70000</v>
      </c>
      <c r="J13">
        <v>1000</v>
      </c>
      <c r="K13">
        <v>50000</v>
      </c>
      <c r="L13">
        <v>100000</v>
      </c>
      <c r="M13">
        <v>150000</v>
      </c>
      <c r="N13">
        <v>200000</v>
      </c>
      <c r="O13">
        <v>250000</v>
      </c>
    </row>
    <row r="14" spans="3:16">
      <c r="G14">
        <v>1500</v>
      </c>
      <c r="H14">
        <v>75000</v>
      </c>
      <c r="J14">
        <v>1100</v>
      </c>
      <c r="K14">
        <v>55000</v>
      </c>
      <c r="L14">
        <v>110000</v>
      </c>
      <c r="M14">
        <v>165000</v>
      </c>
      <c r="N14">
        <v>220000</v>
      </c>
      <c r="O14">
        <v>275000</v>
      </c>
    </row>
    <row r="16" spans="3:16">
      <c r="P16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4ADC-671B-4397-8CF1-6313B5AC8F86}">
  <sheetPr>
    <outlinePr summaryBelow="0"/>
  </sheetPr>
  <dimension ref="B1:G11"/>
  <sheetViews>
    <sheetView showGridLines="0" tabSelected="1" workbookViewId="0">
      <selection activeCell="C6" sqref="C6"/>
    </sheetView>
  </sheetViews>
  <sheetFormatPr defaultRowHeight="14.4" outlineLevelRow="1" outlineLevelCol="1"/>
  <cols>
    <col min="3" max="3" width="6.109375" bestFit="1" customWidth="1"/>
    <col min="4" max="7" width="13.109375" bestFit="1" customWidth="1" outlineLevel="1"/>
  </cols>
  <sheetData>
    <row r="1" spans="2:7" ht="15" thickBot="1"/>
    <row r="2" spans="2:7" ht="15.6">
      <c r="B2" s="18" t="s">
        <v>66</v>
      </c>
      <c r="C2" s="18"/>
      <c r="D2" s="12"/>
      <c r="E2" s="12"/>
      <c r="F2" s="12"/>
      <c r="G2" s="12"/>
    </row>
    <row r="3" spans="2:7" ht="15.6" collapsed="1">
      <c r="B3" s="17"/>
      <c r="C3" s="17"/>
      <c r="D3" s="13" t="s">
        <v>68</v>
      </c>
      <c r="E3" s="13" t="s">
        <v>74</v>
      </c>
      <c r="F3" s="13" t="s">
        <v>65</v>
      </c>
      <c r="G3" s="13" t="s">
        <v>77</v>
      </c>
    </row>
    <row r="4" spans="2:7" ht="40.799999999999997" hidden="1" outlineLevel="1">
      <c r="B4" s="19"/>
      <c r="C4" s="19"/>
      <c r="D4" s="9"/>
      <c r="E4" s="15" t="s">
        <v>75</v>
      </c>
      <c r="F4" s="15" t="s">
        <v>76</v>
      </c>
      <c r="G4" s="15" t="s">
        <v>75</v>
      </c>
    </row>
    <row r="5" spans="2:7">
      <c r="B5" s="20" t="s">
        <v>67</v>
      </c>
      <c r="C5" s="20"/>
      <c r="D5" s="11"/>
      <c r="E5" s="11"/>
      <c r="F5" s="11"/>
      <c r="G5" s="11"/>
    </row>
    <row r="6" spans="2:7" outlineLevel="1">
      <c r="B6" s="19"/>
      <c r="C6" s="19" t="s">
        <v>63</v>
      </c>
      <c r="D6" s="9">
        <v>500</v>
      </c>
      <c r="E6" s="14">
        <v>200</v>
      </c>
      <c r="F6" s="14">
        <v>300</v>
      </c>
      <c r="G6" s="14">
        <v>500</v>
      </c>
    </row>
    <row r="7" spans="2:7">
      <c r="B7" s="20" t="s">
        <v>69</v>
      </c>
      <c r="C7" s="20"/>
      <c r="D7" s="11"/>
      <c r="E7" s="11"/>
      <c r="F7" s="11"/>
      <c r="G7" s="11"/>
    </row>
    <row r="8" spans="2:7" ht="15" outlineLevel="1" thickBot="1">
      <c r="B8" s="21"/>
      <c r="C8" s="21" t="s">
        <v>64</v>
      </c>
      <c r="D8" s="10">
        <v>10000</v>
      </c>
      <c r="E8" s="10">
        <v>4000</v>
      </c>
      <c r="F8" s="10">
        <v>6000</v>
      </c>
      <c r="G8" s="10">
        <v>10000</v>
      </c>
    </row>
    <row r="9" spans="2:7">
      <c r="B9" t="s">
        <v>70</v>
      </c>
    </row>
    <row r="10" spans="2:7">
      <c r="B10" t="s">
        <v>71</v>
      </c>
    </row>
    <row r="11" spans="2:7">
      <c r="B11" t="s">
        <v>72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375-3F9D-4E21-849B-AF8884D93C19}">
  <dimension ref="B5:C12"/>
  <sheetViews>
    <sheetView zoomScale="190" zoomScaleNormal="190" workbookViewId="0">
      <selection activeCell="D11" sqref="D11"/>
    </sheetView>
  </sheetViews>
  <sheetFormatPr defaultRowHeight="14.4"/>
  <cols>
    <col min="2" max="2" width="13.88671875" bestFit="1" customWidth="1"/>
  </cols>
  <sheetData>
    <row r="5" spans="2:3">
      <c r="B5" s="16" t="s">
        <v>62</v>
      </c>
      <c r="C5" s="16"/>
    </row>
    <row r="6" spans="2:3">
      <c r="B6" s="8" t="s">
        <v>56</v>
      </c>
      <c r="C6" s="8">
        <v>50</v>
      </c>
    </row>
    <row r="7" spans="2:3">
      <c r="B7" s="8" t="s">
        <v>57</v>
      </c>
      <c r="C7" s="8">
        <v>1000</v>
      </c>
    </row>
    <row r="8" spans="2:3">
      <c r="B8" s="8" t="s">
        <v>58</v>
      </c>
      <c r="C8" s="8">
        <f>C6*C7</f>
        <v>50000</v>
      </c>
    </row>
    <row r="9" spans="2:3">
      <c r="B9" s="8" t="s">
        <v>59</v>
      </c>
      <c r="C9" s="8">
        <f>C8*10%</f>
        <v>5000</v>
      </c>
    </row>
    <row r="10" spans="2:3">
      <c r="B10" s="8" t="s">
        <v>60</v>
      </c>
      <c r="C10" s="8">
        <f>25*C7</f>
        <v>25000</v>
      </c>
    </row>
    <row r="11" spans="2:3">
      <c r="B11" s="8" t="s">
        <v>61</v>
      </c>
      <c r="C11" s="8">
        <f>C9+C10</f>
        <v>30000</v>
      </c>
    </row>
    <row r="12" spans="2:3">
      <c r="B12" s="8" t="s">
        <v>34</v>
      </c>
      <c r="C12" s="8">
        <f>C8-C11</f>
        <v>20000</v>
      </c>
    </row>
  </sheetData>
  <scenarios current="2" show="2" sqref="C12">
    <scenario name="200 Qty" locked="1" count="1" user="HP" comment="Created by HP on 10/30/2025">
      <inputCells r="C7" val="200"/>
    </scenario>
    <scenario name="300 Qty" locked="1" count="1" user="HP" comment="Created by HP on 10/30/2025_x000a_Modified by HP on 10/30/2025">
      <inputCells r="C7" val="300"/>
    </scenario>
    <scenario name="500 Qty" locked="1" count="1" user="HP" comment="Created by HP on 10/30/2025">
      <inputCells r="C7" val="500"/>
    </scenario>
  </scenarios>
  <mergeCells count="1"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Props1.xml><?xml version="1.0" encoding="utf-8"?>
<ds:datastoreItem xmlns:ds="http://schemas.openxmlformats.org/officeDocument/2006/customXml" ds:itemID="{1B7C0C7F-5DC3-4C0C-A69E-AAB0BC05FE3E}">
  <ds:schemaRefs/>
</ds:datastoreItem>
</file>

<file path=customXml/itemProps2.xml><?xml version="1.0" encoding="utf-8"?>
<ds:datastoreItem xmlns:ds="http://schemas.openxmlformats.org/officeDocument/2006/customXml" ds:itemID="{70F5F802-0631-4343-90E8-07C825EB957F}">
  <ds:schemaRefs/>
</ds:datastoreItem>
</file>

<file path=customXml/itemProps3.xml><?xml version="1.0" encoding="utf-8"?>
<ds:datastoreItem xmlns:ds="http://schemas.openxmlformats.org/officeDocument/2006/customXml" ds:itemID="{D9B27898-8BFE-43A0-A664-D2167F098067}">
  <ds:schemaRefs/>
</ds:datastoreItem>
</file>

<file path=customXml/itemProps4.xml><?xml version="1.0" encoding="utf-8"?>
<ds:datastoreItem xmlns:ds="http://schemas.openxmlformats.org/officeDocument/2006/customXml" ds:itemID="{66C3E232-B1C0-4408-861F-9B3FDF48068F}">
  <ds:schemaRefs/>
</ds:datastoreItem>
</file>

<file path=customXml/itemProps5.xml><?xml version="1.0" encoding="utf-8"?>
<ds:datastoreItem xmlns:ds="http://schemas.openxmlformats.org/officeDocument/2006/customXml" ds:itemID="{05806196-012B-40B8-8B9D-F031A891854E}">
  <ds:schemaRefs/>
</ds:datastoreItem>
</file>

<file path=customXml/itemProps6.xml><?xml version="1.0" encoding="utf-8"?>
<ds:datastoreItem xmlns:ds="http://schemas.openxmlformats.org/officeDocument/2006/customXml" ds:itemID="{F8F0B0FF-0B26-44FD-8F57-DC438C96A004}">
  <ds:schemaRefs/>
</ds:datastoreItem>
</file>

<file path=customXml/itemProps7.xml><?xml version="1.0" encoding="utf-8"?>
<ds:datastoreItem xmlns:ds="http://schemas.openxmlformats.org/officeDocument/2006/customXml" ds:itemID="{C2E0B35F-9BAE-46AB-B5FB-39971D0933FA}">
  <ds:schemaRefs/>
</ds:datastoreItem>
</file>

<file path=customXml/itemProps8.xml><?xml version="1.0" encoding="utf-8"?>
<ds:datastoreItem xmlns:ds="http://schemas.openxmlformats.org/officeDocument/2006/customXml" ds:itemID="{06EB7724-D0AE-4363-9EF7-72FB628483DB}">
  <ds:schemaRefs/>
</ds:datastoreItem>
</file>

<file path=customXml/itemProps9.xml><?xml version="1.0" encoding="utf-8"?>
<ds:datastoreItem xmlns:ds="http://schemas.openxmlformats.org/officeDocument/2006/customXml" ds:itemID="{079D09A1-08D9-4E51-83E8-A9151EFC4FC4}">
  <ds:schemaRefs/>
</ds:datastoreItem>
</file>

<file path=customXml/itemProps10.xml><?xml version="1.0" encoding="utf-8"?>
<ds:datastoreItem xmlns:ds="http://schemas.openxmlformats.org/officeDocument/2006/customXml" ds:itemID="{87CC4B73-0B9B-4B5A-9111-90A90D096770}">
  <ds:schemaRefs/>
</ds:datastoreItem>
</file>

<file path=customXml/itemProps11.xml><?xml version="1.0" encoding="utf-8"?>
<ds:datastoreItem xmlns:ds="http://schemas.openxmlformats.org/officeDocument/2006/customXml" ds:itemID="{0E9474EC-ACC0-4A28-853A-C79698FF9AEF}">
  <ds:schemaRefs/>
</ds:datastoreItem>
</file>

<file path=customXml/itemProps12.xml><?xml version="1.0" encoding="utf-8"?>
<ds:datastoreItem xmlns:ds="http://schemas.openxmlformats.org/officeDocument/2006/customXml" ds:itemID="{AE9ACF07-01C9-4F4A-A95E-CD4F4A0E4D18}">
  <ds:schemaRefs/>
</ds:datastoreItem>
</file>

<file path=customXml/itemProps13.xml><?xml version="1.0" encoding="utf-8"?>
<ds:datastoreItem xmlns:ds="http://schemas.openxmlformats.org/officeDocument/2006/customXml" ds:itemID="{534F6368-05C3-4D8D-A6BD-4F866087CC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ProductData</vt:lpstr>
      <vt:lpstr>SalesData</vt:lpstr>
      <vt:lpstr>Sheet1</vt:lpstr>
      <vt:lpstr>Sheet2</vt:lpstr>
      <vt:lpstr>Scenario Summary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2025-10-29T06:51:48Z</dcterms:created>
  <dcterms:modified xsi:type="dcterms:W3CDTF">2025-10-30T06:54:47Z</dcterms:modified>
</cp:coreProperties>
</file>