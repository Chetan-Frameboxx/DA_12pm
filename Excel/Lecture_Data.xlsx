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Github\DA_2_30PM_Chetan_Sharma\Excel\"/>
    </mc:Choice>
  </mc:AlternateContent>
  <xr:revisionPtr revIDLastSave="0" documentId="13_ncr:1_{AA366119-2AF4-4871-8445-64264C31027B}" xr6:coauthVersionLast="36" xr6:coauthVersionMax="36" xr10:uidLastSave="{00000000-0000-0000-0000-000000000000}"/>
  <bookViews>
    <workbookView xWindow="0" yWindow="0" windowWidth="23040" windowHeight="8796" activeTab="5" xr2:uid="{00000000-000D-0000-FFFF-FFFF00000000}"/>
  </bookViews>
  <sheets>
    <sheet name="Lecture_1" sheetId="1" r:id="rId1"/>
    <sheet name="Lecture_2" sheetId="2" r:id="rId2"/>
    <sheet name="Lecture_3" sheetId="4" r:id="rId3"/>
    <sheet name="Lecture_4" sheetId="5" r:id="rId4"/>
    <sheet name="Lecture_5" sheetId="6" r:id="rId5"/>
    <sheet name="Lecture_6" sheetId="7" r:id="rId6"/>
    <sheet name="Lecture_6.1" sheetId="9" r:id="rId7"/>
  </sheets>
  <definedNames>
    <definedName name="_xlnm._FilterDatabase" localSheetId="4" hidden="1">Lecture_5!$A$1:$G$11</definedName>
    <definedName name="emp_2">Lecture_6!$M$4:$N$8</definedName>
    <definedName name="emp_scale">Lecture_6!$L$4:$M$8</definedName>
  </definedNames>
  <calcPr calcId="191029"/>
</workbook>
</file>

<file path=xl/calcChain.xml><?xml version="1.0" encoding="utf-8"?>
<calcChain xmlns="http://schemas.openxmlformats.org/spreadsheetml/2006/main">
  <c r="P4" i="9" l="1"/>
  <c r="P5" i="9"/>
  <c r="P6" i="9"/>
  <c r="P3" i="9"/>
  <c r="H11" i="7"/>
  <c r="H10" i="7"/>
  <c r="H9" i="7"/>
  <c r="H8" i="7"/>
  <c r="H7" i="7"/>
  <c r="H6" i="7"/>
  <c r="H5" i="7"/>
  <c r="H4" i="7"/>
  <c r="H3" i="7"/>
  <c r="H2" i="7"/>
  <c r="G2" i="7"/>
  <c r="G3" i="7"/>
  <c r="G4" i="7"/>
  <c r="G5" i="7"/>
  <c r="G6" i="7"/>
  <c r="G7" i="7"/>
  <c r="G8" i="7"/>
  <c r="G9" i="7"/>
  <c r="G10" i="7"/>
  <c r="G11" i="7"/>
  <c r="G11" i="6"/>
  <c r="G10" i="6"/>
  <c r="G9" i="6"/>
  <c r="G8" i="6"/>
  <c r="G7" i="6"/>
  <c r="G6" i="6"/>
  <c r="K5" i="6"/>
  <c r="G5" i="6"/>
  <c r="G4" i="6"/>
  <c r="G3" i="6"/>
  <c r="Q3" i="6"/>
  <c r="P3" i="6"/>
  <c r="O3" i="6"/>
  <c r="N3" i="6"/>
  <c r="M3" i="6"/>
  <c r="L3" i="6"/>
  <c r="K3" i="6"/>
  <c r="Q2" i="6"/>
  <c r="P2" i="6"/>
  <c r="O2" i="6"/>
  <c r="N2" i="6"/>
  <c r="M2" i="6"/>
  <c r="L2" i="6"/>
  <c r="K2" i="6" a="1"/>
  <c r="K2" i="6"/>
  <c r="G2" i="6"/>
  <c r="U11" i="5"/>
  <c r="T11" i="5"/>
  <c r="S11" i="5"/>
  <c r="R11" i="5"/>
  <c r="N11" i="5"/>
  <c r="M11" i="5"/>
  <c r="K11" i="5"/>
  <c r="J11" i="5"/>
  <c r="I11" i="5"/>
  <c r="H11" i="5"/>
  <c r="G11" i="5"/>
  <c r="U10" i="5"/>
  <c r="T10" i="5"/>
  <c r="S10" i="5"/>
  <c r="R10" i="5"/>
  <c r="N10" i="5"/>
  <c r="M10" i="5"/>
  <c r="K10" i="5"/>
  <c r="J10" i="5"/>
  <c r="I10" i="5"/>
  <c r="H10" i="5"/>
  <c r="G10" i="5"/>
  <c r="U9" i="5"/>
  <c r="T9" i="5"/>
  <c r="S9" i="5"/>
  <c r="R9" i="5"/>
  <c r="N9" i="5"/>
  <c r="M9" i="5"/>
  <c r="K9" i="5"/>
  <c r="J9" i="5"/>
  <c r="I9" i="5"/>
  <c r="H9" i="5"/>
  <c r="G9" i="5"/>
  <c r="U8" i="5"/>
  <c r="T8" i="5"/>
  <c r="S8" i="5"/>
  <c r="R8" i="5"/>
  <c r="N8" i="5"/>
  <c r="M8" i="5"/>
  <c r="K8" i="5"/>
  <c r="J8" i="5"/>
  <c r="I8" i="5"/>
  <c r="H8" i="5"/>
  <c r="G8" i="5"/>
  <c r="U7" i="5"/>
  <c r="T7" i="5"/>
  <c r="S7" i="5"/>
  <c r="R7" i="5"/>
  <c r="N7" i="5"/>
  <c r="M7" i="5"/>
  <c r="K7" i="5"/>
  <c r="J7" i="5"/>
  <c r="I7" i="5"/>
  <c r="H7" i="5"/>
  <c r="G7" i="5"/>
  <c r="U6" i="5"/>
  <c r="T6" i="5"/>
  <c r="S6" i="5"/>
  <c r="R6" i="5"/>
  <c r="N6" i="5"/>
  <c r="M6" i="5"/>
  <c r="K6" i="5"/>
  <c r="J6" i="5"/>
  <c r="I6" i="5"/>
  <c r="H6" i="5"/>
  <c r="G6" i="5"/>
  <c r="U5" i="5"/>
  <c r="T5" i="5"/>
  <c r="S5" i="5"/>
  <c r="R5" i="5"/>
  <c r="N5" i="5"/>
  <c r="M5" i="5"/>
  <c r="K5" i="5"/>
  <c r="J5" i="5"/>
  <c r="I5" i="5"/>
  <c r="H5" i="5"/>
  <c r="G5" i="5"/>
  <c r="U4" i="5"/>
  <c r="T4" i="5"/>
  <c r="S4" i="5"/>
  <c r="R4" i="5"/>
  <c r="N4" i="5"/>
  <c r="M4" i="5"/>
  <c r="K4" i="5"/>
  <c r="J4" i="5"/>
  <c r="I4" i="5"/>
  <c r="H4" i="5"/>
  <c r="G4" i="5"/>
  <c r="U3" i="5"/>
  <c r="T3" i="5"/>
  <c r="S3" i="5"/>
  <c r="R3" i="5"/>
  <c r="N3" i="5"/>
  <c r="M3" i="5"/>
  <c r="K3" i="5"/>
  <c r="J3" i="5"/>
  <c r="I3" i="5"/>
  <c r="H3" i="5"/>
  <c r="G3" i="5"/>
  <c r="U2" i="5"/>
  <c r="T2" i="5"/>
  <c r="S2" i="5"/>
  <c r="R2" i="5"/>
  <c r="N2" i="5"/>
  <c r="M2" i="5"/>
  <c r="K2" i="5"/>
  <c r="J2" i="5"/>
  <c r="I2" i="5"/>
  <c r="H2" i="5"/>
  <c r="G2" i="5"/>
  <c r="I12" i="4"/>
  <c r="H12" i="4"/>
  <c r="G12" i="4"/>
  <c r="I11" i="4"/>
  <c r="H11" i="4"/>
  <c r="G11" i="4"/>
  <c r="E11" i="4"/>
  <c r="D11" i="4"/>
  <c r="C11" i="4"/>
  <c r="I10" i="4"/>
  <c r="H10" i="4"/>
  <c r="G10" i="4"/>
  <c r="E10" i="4"/>
  <c r="D10" i="4"/>
  <c r="C10" i="4"/>
  <c r="I9" i="4"/>
  <c r="H9" i="4"/>
  <c r="G9" i="4"/>
  <c r="E9" i="4"/>
  <c r="D9" i="4"/>
  <c r="C9" i="4"/>
  <c r="I8" i="4"/>
  <c r="H8" i="4"/>
  <c r="G8" i="4"/>
  <c r="E8" i="4"/>
  <c r="D8" i="4"/>
  <c r="C8" i="4"/>
  <c r="I7" i="4"/>
  <c r="H7" i="4"/>
  <c r="G7" i="4"/>
  <c r="E7" i="4"/>
  <c r="D7" i="4"/>
  <c r="C7" i="4"/>
  <c r="I6" i="4"/>
  <c r="H6" i="4"/>
  <c r="G6" i="4"/>
  <c r="E6" i="4"/>
  <c r="D6" i="4"/>
  <c r="C6" i="4"/>
  <c r="I5" i="4"/>
  <c r="H5" i="4"/>
  <c r="G5" i="4"/>
  <c r="E5" i="4"/>
  <c r="D5" i="4"/>
  <c r="C5" i="4"/>
  <c r="I4" i="4"/>
  <c r="H4" i="4"/>
  <c r="G4" i="4"/>
  <c r="E4" i="4"/>
  <c r="D4" i="4"/>
  <c r="C4" i="4"/>
  <c r="P3" i="4"/>
  <c r="O3" i="4"/>
  <c r="I3" i="4"/>
  <c r="H3" i="4"/>
  <c r="G3" i="4"/>
  <c r="E3" i="4"/>
  <c r="D3" i="4"/>
  <c r="C3" i="4"/>
  <c r="P2" i="4"/>
  <c r="O2" i="4"/>
  <c r="I2" i="4"/>
  <c r="H2" i="4"/>
  <c r="G2" i="4"/>
  <c r="E2" i="4"/>
  <c r="D2" i="4"/>
  <c r="C2" i="4"/>
  <c r="W25" i="2"/>
  <c r="V25" i="2"/>
  <c r="U25" i="2"/>
  <c r="T25" i="2"/>
  <c r="S25" i="2"/>
  <c r="R25" i="2"/>
  <c r="Q25" i="2"/>
  <c r="P25" i="2"/>
  <c r="O25" i="2"/>
  <c r="N25" i="2"/>
  <c r="W24" i="2"/>
  <c r="V24" i="2"/>
  <c r="U24" i="2"/>
  <c r="T24" i="2"/>
  <c r="S24" i="2"/>
  <c r="R24" i="2"/>
  <c r="Q24" i="2"/>
  <c r="P24" i="2"/>
  <c r="O24" i="2"/>
  <c r="N24" i="2"/>
  <c r="W23" i="2"/>
  <c r="V23" i="2"/>
  <c r="U23" i="2"/>
  <c r="T23" i="2"/>
  <c r="S23" i="2"/>
  <c r="R23" i="2"/>
  <c r="Q23" i="2"/>
  <c r="P23" i="2"/>
  <c r="O23" i="2"/>
  <c r="N23" i="2"/>
  <c r="W22" i="2"/>
  <c r="V22" i="2"/>
  <c r="U22" i="2"/>
  <c r="T22" i="2"/>
  <c r="S22" i="2"/>
  <c r="R22" i="2"/>
  <c r="Q22" i="2"/>
  <c r="P22" i="2"/>
  <c r="O22" i="2"/>
  <c r="N22" i="2"/>
  <c r="W21" i="2"/>
  <c r="V21" i="2"/>
  <c r="U21" i="2"/>
  <c r="T21" i="2"/>
  <c r="S21" i="2"/>
  <c r="R21" i="2"/>
  <c r="Q21" i="2"/>
  <c r="P21" i="2"/>
  <c r="O21" i="2"/>
  <c r="N21" i="2"/>
  <c r="W20" i="2"/>
  <c r="V20" i="2"/>
  <c r="U20" i="2"/>
  <c r="T20" i="2"/>
  <c r="S20" i="2"/>
  <c r="R20" i="2"/>
  <c r="Q20" i="2"/>
  <c r="P20" i="2"/>
  <c r="O20" i="2"/>
  <c r="N20" i="2"/>
  <c r="W19" i="2"/>
  <c r="V19" i="2"/>
  <c r="U19" i="2"/>
  <c r="T19" i="2"/>
  <c r="S19" i="2"/>
  <c r="R19" i="2"/>
  <c r="Q19" i="2"/>
  <c r="P19" i="2"/>
  <c r="O19" i="2"/>
  <c r="N19" i="2"/>
  <c r="W18" i="2"/>
  <c r="V18" i="2"/>
  <c r="U18" i="2"/>
  <c r="T18" i="2"/>
  <c r="S18" i="2"/>
  <c r="R18" i="2"/>
  <c r="Q18" i="2"/>
  <c r="P18" i="2"/>
  <c r="O18" i="2"/>
  <c r="N18" i="2"/>
  <c r="W17" i="2"/>
  <c r="V17" i="2"/>
  <c r="U17" i="2"/>
  <c r="T17" i="2"/>
  <c r="S17" i="2"/>
  <c r="R17" i="2"/>
  <c r="Q17" i="2"/>
  <c r="P17" i="2"/>
  <c r="O17" i="2"/>
  <c r="N17" i="2"/>
  <c r="R11" i="2"/>
  <c r="O11" i="2"/>
  <c r="N11" i="2"/>
  <c r="M11" i="2"/>
  <c r="L11" i="2"/>
  <c r="K11" i="2"/>
  <c r="J11" i="2"/>
  <c r="I11" i="2"/>
  <c r="R10" i="2"/>
  <c r="O10" i="2"/>
  <c r="N10" i="2"/>
  <c r="M10" i="2"/>
  <c r="L10" i="2"/>
  <c r="K10" i="2"/>
  <c r="J10" i="2"/>
  <c r="I10" i="2"/>
  <c r="R9" i="2"/>
  <c r="O9" i="2"/>
  <c r="N9" i="2"/>
  <c r="M9" i="2"/>
  <c r="L9" i="2"/>
  <c r="K9" i="2"/>
  <c r="J9" i="2"/>
  <c r="I9" i="2"/>
  <c r="R8" i="2"/>
  <c r="O8" i="2"/>
  <c r="N8" i="2"/>
  <c r="M8" i="2"/>
  <c r="L8" i="2"/>
  <c r="K8" i="2"/>
  <c r="J8" i="2"/>
  <c r="I8" i="2"/>
  <c r="R7" i="2"/>
  <c r="O7" i="2"/>
  <c r="N7" i="2"/>
  <c r="M7" i="2"/>
  <c r="L7" i="2"/>
  <c r="K7" i="2"/>
  <c r="J7" i="2"/>
  <c r="I7" i="2"/>
  <c r="R6" i="2"/>
  <c r="O6" i="2"/>
  <c r="N6" i="2"/>
  <c r="M6" i="2"/>
  <c r="L6" i="2"/>
  <c r="K6" i="2"/>
  <c r="J6" i="2"/>
  <c r="I6" i="2"/>
  <c r="R5" i="2"/>
  <c r="O5" i="2"/>
  <c r="N5" i="2"/>
  <c r="M5" i="2"/>
  <c r="L5" i="2"/>
  <c r="K5" i="2"/>
  <c r="J5" i="2"/>
  <c r="I5" i="2"/>
  <c r="R4" i="2"/>
  <c r="O4" i="2"/>
  <c r="N4" i="2"/>
  <c r="M4" i="2"/>
  <c r="L4" i="2"/>
  <c r="K4" i="2"/>
  <c r="J4" i="2"/>
  <c r="I4" i="2"/>
  <c r="R3" i="2"/>
  <c r="O3" i="2"/>
  <c r="N3" i="2"/>
  <c r="M3" i="2"/>
  <c r="L3" i="2"/>
  <c r="K3" i="2"/>
  <c r="J3" i="2"/>
  <c r="I3" i="2"/>
  <c r="R2" i="2"/>
  <c r="Q2" i="2"/>
  <c r="P2" i="2"/>
  <c r="O2" i="2"/>
  <c r="N2" i="2"/>
  <c r="M2" i="2"/>
  <c r="L2" i="2"/>
  <c r="K2" i="2"/>
  <c r="J2" i="2"/>
  <c r="I2" i="2"/>
  <c r="C15" i="1"/>
  <c r="C13" i="1"/>
  <c r="C12" i="1"/>
  <c r="K3" i="7"/>
  <c r="K6" i="7"/>
  <c r="K5" i="7"/>
  <c r="K4" i="7"/>
  <c r="K7" i="7"/>
  <c r="K8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<sst xmlns="http://schemas.openxmlformats.org/spreadsheetml/2006/main" count="2081" uniqueCount="155">
  <si>
    <t>S.No</t>
  </si>
  <si>
    <t>Name</t>
  </si>
  <si>
    <t>Age</t>
  </si>
  <si>
    <t>Course</t>
  </si>
  <si>
    <t>Contact No.</t>
  </si>
  <si>
    <t>Het</t>
  </si>
  <si>
    <t>WD</t>
  </si>
  <si>
    <t>Riya</t>
  </si>
  <si>
    <t>Python</t>
  </si>
  <si>
    <t>Lopender</t>
  </si>
  <si>
    <t>DA</t>
  </si>
  <si>
    <t>Harsh</t>
  </si>
  <si>
    <t>DS</t>
  </si>
  <si>
    <t>Shahid</t>
  </si>
  <si>
    <t>Priya</t>
  </si>
  <si>
    <t>Param</t>
  </si>
  <si>
    <t>Soham</t>
  </si>
  <si>
    <t>Sejal</t>
  </si>
  <si>
    <t>Arun</t>
  </si>
  <si>
    <t>Day</t>
  </si>
  <si>
    <t>Num 1</t>
  </si>
  <si>
    <t>Num 2</t>
  </si>
  <si>
    <t>Add</t>
  </si>
  <si>
    <t>Sub</t>
  </si>
  <si>
    <t>Multiply</t>
  </si>
  <si>
    <t>Divide</t>
  </si>
  <si>
    <t>SUM</t>
  </si>
  <si>
    <t>Max</t>
  </si>
  <si>
    <t>Min</t>
  </si>
  <si>
    <t>Min In Num 1</t>
  </si>
  <si>
    <t>Max in Num 1</t>
  </si>
  <si>
    <t>Min Multiply By Num 1</t>
  </si>
  <si>
    <t>Mon</t>
  </si>
  <si>
    <t>Tue</t>
  </si>
  <si>
    <t>Wed</t>
  </si>
  <si>
    <t>Thu</t>
  </si>
  <si>
    <t>Fri</t>
  </si>
  <si>
    <t>Sat</t>
  </si>
  <si>
    <t>Sun</t>
  </si>
  <si>
    <t>Table 1 to 10</t>
  </si>
  <si>
    <t>Proper Case</t>
  </si>
  <si>
    <t>Lowe Case</t>
  </si>
  <si>
    <t>Upper Case</t>
  </si>
  <si>
    <t>Name With Spaces</t>
  </si>
  <si>
    <t>Length Before trim</t>
  </si>
  <si>
    <t>Length After Trim</t>
  </si>
  <si>
    <t>Name After Trim</t>
  </si>
  <si>
    <t>Full Name</t>
  </si>
  <si>
    <t>First Name</t>
  </si>
  <si>
    <t>Last Name</t>
  </si>
  <si>
    <t>het</t>
  </si>
  <si>
    <t xml:space="preserve">het      </t>
  </si>
  <si>
    <t>Harsh-Gupta</t>
  </si>
  <si>
    <t>Gupta</t>
  </si>
  <si>
    <t>RiYa</t>
  </si>
  <si>
    <t xml:space="preserve">RiYa    </t>
  </si>
  <si>
    <t>Rohan-Patel</t>
  </si>
  <si>
    <t>Rohan</t>
  </si>
  <si>
    <t>Patel</t>
  </si>
  <si>
    <t>LopendeR</t>
  </si>
  <si>
    <t xml:space="preserve">       LopendeR</t>
  </si>
  <si>
    <t xml:space="preserve">Harsh      </t>
  </si>
  <si>
    <t xml:space="preserve">         Shahid</t>
  </si>
  <si>
    <t xml:space="preserve">       Priya</t>
  </si>
  <si>
    <t xml:space="preserve">         Param</t>
  </si>
  <si>
    <t xml:space="preserve">Sejal     </t>
  </si>
  <si>
    <t xml:space="preserve">           Arun</t>
  </si>
  <si>
    <t>Department</t>
  </si>
  <si>
    <t>Salary</t>
  </si>
  <si>
    <t>Tax</t>
  </si>
  <si>
    <t>Tax Amount</t>
  </si>
  <si>
    <t xml:space="preserve">Difference </t>
  </si>
  <si>
    <t>IFS</t>
  </si>
  <si>
    <t xml:space="preserve">Sale Team </t>
  </si>
  <si>
    <t>Country</t>
  </si>
  <si>
    <t>Movement</t>
  </si>
  <si>
    <t>Flight</t>
  </si>
  <si>
    <t>Value 1</t>
  </si>
  <si>
    <t>Value 2</t>
  </si>
  <si>
    <t>Result</t>
  </si>
  <si>
    <t>Handle Error</t>
  </si>
  <si>
    <t>Error</t>
  </si>
  <si>
    <t>Combine</t>
  </si>
  <si>
    <t>Sales</t>
  </si>
  <si>
    <t xml:space="preserve">India </t>
  </si>
  <si>
    <t>Operations</t>
  </si>
  <si>
    <t>USA</t>
  </si>
  <si>
    <t>Development</t>
  </si>
  <si>
    <t>Nepal</t>
  </si>
  <si>
    <t>HR</t>
  </si>
  <si>
    <t>Thailand</t>
  </si>
  <si>
    <t>Emp_Id</t>
  </si>
  <si>
    <t>emp_01</t>
  </si>
  <si>
    <t>emp_02</t>
  </si>
  <si>
    <t>emp_03</t>
  </si>
  <si>
    <t>emp_04</t>
  </si>
  <si>
    <t>emp_05</t>
  </si>
  <si>
    <t>emp_06</t>
  </si>
  <si>
    <t>emp_07</t>
  </si>
  <si>
    <t>emp_08</t>
  </si>
  <si>
    <t>emp_09</t>
  </si>
  <si>
    <t>emp_10</t>
  </si>
  <si>
    <t>OrderID</t>
  </si>
  <si>
    <t>Customer</t>
  </si>
  <si>
    <t xml:space="preserve">Country </t>
  </si>
  <si>
    <t>Region</t>
  </si>
  <si>
    <t>Category</t>
  </si>
  <si>
    <t>Product</t>
  </si>
  <si>
    <t>Quantity</t>
  </si>
  <si>
    <t>Priority</t>
  </si>
  <si>
    <t>Date</t>
  </si>
  <si>
    <t>Total</t>
  </si>
  <si>
    <t>Profit</t>
  </si>
  <si>
    <t>Vikas</t>
  </si>
  <si>
    <t>Frence</t>
  </si>
  <si>
    <t>North</t>
  </si>
  <si>
    <t>Accessories</t>
  </si>
  <si>
    <t>Mobile</t>
  </si>
  <si>
    <t>Medium</t>
  </si>
  <si>
    <t>Sneha</t>
  </si>
  <si>
    <t>Indai</t>
  </si>
  <si>
    <t>West</t>
  </si>
  <si>
    <t>Clothing</t>
  </si>
  <si>
    <t>Shirt</t>
  </si>
  <si>
    <t>Low</t>
  </si>
  <si>
    <t>Anita</t>
  </si>
  <si>
    <t>Canada</t>
  </si>
  <si>
    <t>Home Appliances</t>
  </si>
  <si>
    <t>Fridge</t>
  </si>
  <si>
    <t>High</t>
  </si>
  <si>
    <t>Karan</t>
  </si>
  <si>
    <t>Electronics</t>
  </si>
  <si>
    <t>Camera</t>
  </si>
  <si>
    <t>Usa</t>
  </si>
  <si>
    <t>South</t>
  </si>
  <si>
    <t>Neha</t>
  </si>
  <si>
    <t>Ravi</t>
  </si>
  <si>
    <t>S.A</t>
  </si>
  <si>
    <t>East</t>
  </si>
  <si>
    <t>Germany</t>
  </si>
  <si>
    <t>Microwave</t>
  </si>
  <si>
    <t>Headphones</t>
  </si>
  <si>
    <t>Pooja</t>
  </si>
  <si>
    <t>Laptop</t>
  </si>
  <si>
    <t>Jeans</t>
  </si>
  <si>
    <t>Amit</t>
  </si>
  <si>
    <t>Deepak</t>
  </si>
  <si>
    <t>Scale</t>
  </si>
  <si>
    <t>Scale 1</t>
  </si>
  <si>
    <t>Scale 2</t>
  </si>
  <si>
    <t>Scale 3</t>
  </si>
  <si>
    <t>Scale 4</t>
  </si>
  <si>
    <t>Amount</t>
  </si>
  <si>
    <t>Scale Emp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</si>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</sst>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79247413556324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6" borderId="0" xfId="0" applyFont="1" applyFill="1"/>
    <xf numFmtId="0" fontId="1" fillId="0" borderId="0" xfId="0" applyFont="1"/>
    <xf numFmtId="0" fontId="3" fillId="0" borderId="0" xfId="0" applyFont="1"/>
    <xf numFmtId="0" fontId="2" fillId="0" borderId="5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sqref="A1:E11"/>
    </sheetView>
  </sheetViews>
  <sheetFormatPr defaultColWidth="8.88671875" defaultRowHeight="15.6"/>
  <cols>
    <col min="1" max="1" width="8.88671875" style="7"/>
    <col min="2" max="2" width="13.33203125" style="7" customWidth="1"/>
    <col min="3" max="4" width="8.88671875" style="7"/>
    <col min="5" max="5" width="24.109375" style="7" customWidth="1"/>
    <col min="6" max="16384" width="8.88671875" style="7"/>
  </cols>
  <sheetData>
    <row r="1" spans="1:8" s="2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>
      <c r="A2" s="3">
        <v>1</v>
      </c>
      <c r="B2" s="3" t="s">
        <v>5</v>
      </c>
      <c r="C2" s="3">
        <v>23</v>
      </c>
      <c r="D2" s="3" t="s">
        <v>6</v>
      </c>
      <c r="E2" s="9">
        <v>9610420120</v>
      </c>
    </row>
    <row r="3" spans="1:8">
      <c r="A3" s="3">
        <v>2</v>
      </c>
      <c r="B3" s="3" t="s">
        <v>7</v>
      </c>
      <c r="C3" s="3">
        <v>21</v>
      </c>
      <c r="D3" s="3" t="s">
        <v>8</v>
      </c>
      <c r="E3" s="3">
        <v>9150845378</v>
      </c>
    </row>
    <row r="4" spans="1:8">
      <c r="A4" s="3">
        <v>3</v>
      </c>
      <c r="B4" s="3" t="s">
        <v>9</v>
      </c>
      <c r="C4" s="3">
        <v>23</v>
      </c>
      <c r="D4" s="3" t="s">
        <v>10</v>
      </c>
      <c r="E4" s="3">
        <v>9851648330</v>
      </c>
    </row>
    <row r="5" spans="1:8">
      <c r="A5" s="3">
        <v>4</v>
      </c>
      <c r="B5" s="3" t="s">
        <v>11</v>
      </c>
      <c r="C5" s="3">
        <v>20</v>
      </c>
      <c r="D5" s="3" t="s">
        <v>12</v>
      </c>
      <c r="E5" s="3">
        <v>9716841986</v>
      </c>
    </row>
    <row r="6" spans="1:8">
      <c r="A6" s="3">
        <v>5</v>
      </c>
      <c r="B6" s="3" t="s">
        <v>13</v>
      </c>
      <c r="C6" s="3">
        <v>23</v>
      </c>
      <c r="D6" s="3" t="s">
        <v>6</v>
      </c>
      <c r="E6" s="3">
        <v>9203283465</v>
      </c>
      <c r="H6" s="22"/>
    </row>
    <row r="7" spans="1:8">
      <c r="A7" s="3">
        <v>6</v>
      </c>
      <c r="B7" s="3" t="s">
        <v>14</v>
      </c>
      <c r="C7" s="3">
        <v>19</v>
      </c>
      <c r="D7" s="3" t="s">
        <v>8</v>
      </c>
      <c r="E7" s="3">
        <v>9919663645</v>
      </c>
    </row>
    <row r="8" spans="1:8">
      <c r="A8" s="3">
        <v>7</v>
      </c>
      <c r="B8" s="3" t="s">
        <v>15</v>
      </c>
      <c r="C8" s="3">
        <v>18</v>
      </c>
      <c r="D8" s="3" t="s">
        <v>8</v>
      </c>
      <c r="E8" s="3">
        <v>9536742342</v>
      </c>
    </row>
    <row r="9" spans="1:8">
      <c r="A9" s="3">
        <v>8</v>
      </c>
      <c r="B9" s="3" t="s">
        <v>16</v>
      </c>
      <c r="C9" s="3">
        <v>20</v>
      </c>
      <c r="D9" s="3" t="s">
        <v>6</v>
      </c>
      <c r="E9" s="3">
        <v>9890086373</v>
      </c>
    </row>
    <row r="10" spans="1:8">
      <c r="A10" s="3">
        <v>9</v>
      </c>
      <c r="B10" s="3" t="s">
        <v>17</v>
      </c>
      <c r="C10" s="3">
        <v>18</v>
      </c>
      <c r="D10" s="3" t="s">
        <v>8</v>
      </c>
      <c r="E10" s="3">
        <v>9387856952</v>
      </c>
    </row>
    <row r="11" spans="1:8">
      <c r="A11" s="3">
        <v>10</v>
      </c>
      <c r="B11" s="3" t="s">
        <v>18</v>
      </c>
      <c r="C11" s="3">
        <v>25</v>
      </c>
      <c r="D11" s="3" t="s">
        <v>6</v>
      </c>
      <c r="E11" s="3">
        <v>9657033277</v>
      </c>
    </row>
    <row r="12" spans="1:8">
      <c r="B12" s="23"/>
      <c r="C12" s="23">
        <f>SUM(C2:C11)</f>
        <v>210</v>
      </c>
      <c r="D12" s="23"/>
      <c r="E12" s="23"/>
    </row>
    <row r="13" spans="1:8">
      <c r="C13" s="7">
        <f>AVERAGE(C2:C11)</f>
        <v>21</v>
      </c>
    </row>
    <row r="15" spans="1:8">
      <c r="C15" s="7">
        <f>COUNT(C2:C11)</f>
        <v>10</v>
      </c>
    </row>
    <row r="22" spans="5:5">
      <c r="E22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5"/>
  <sheetViews>
    <sheetView topLeftCell="D1" workbookViewId="0">
      <selection activeCell="E27" sqref="E27"/>
    </sheetView>
  </sheetViews>
  <sheetFormatPr defaultColWidth="8.88671875" defaultRowHeight="15.6"/>
  <cols>
    <col min="1" max="1" width="5.33203125" style="7" customWidth="1"/>
    <col min="2" max="2" width="9.6640625" style="7" customWidth="1"/>
    <col min="3" max="3" width="4.44140625" style="7" customWidth="1"/>
    <col min="4" max="4" width="7.5546875" style="7" customWidth="1"/>
    <col min="5" max="5" width="12.109375" style="7" customWidth="1"/>
    <col min="6" max="15" width="8.88671875" style="7"/>
    <col min="16" max="16" width="13.6640625" style="7" customWidth="1"/>
    <col min="17" max="17" width="14.109375" style="7" customWidth="1"/>
    <col min="18" max="18" width="22.6640625" style="7" customWidth="1"/>
    <col min="19" max="16384" width="8.88671875" style="7"/>
  </cols>
  <sheetData>
    <row r="1" spans="1:2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19</v>
      </c>
      <c r="G1" s="18" t="s">
        <v>20</v>
      </c>
      <c r="H1" s="18" t="s">
        <v>21</v>
      </c>
      <c r="I1" s="18" t="s">
        <v>22</v>
      </c>
      <c r="J1" s="18" t="s">
        <v>23</v>
      </c>
      <c r="K1" s="18" t="s">
        <v>24</v>
      </c>
      <c r="L1" s="18" t="s">
        <v>25</v>
      </c>
      <c r="M1" s="18" t="s">
        <v>26</v>
      </c>
      <c r="N1" s="18" t="s">
        <v>27</v>
      </c>
      <c r="O1" s="18" t="s">
        <v>28</v>
      </c>
      <c r="P1" s="18" t="s">
        <v>29</v>
      </c>
      <c r="Q1" s="18" t="s">
        <v>30</v>
      </c>
      <c r="R1" s="18" t="s">
        <v>31</v>
      </c>
    </row>
    <row r="2" spans="1:23">
      <c r="A2" s="3">
        <v>1</v>
      </c>
      <c r="B2" s="3" t="s">
        <v>5</v>
      </c>
      <c r="C2" s="3">
        <v>23</v>
      </c>
      <c r="D2" s="3" t="s">
        <v>6</v>
      </c>
      <c r="E2" s="3">
        <v>9610420120</v>
      </c>
      <c r="F2" s="19" t="s">
        <v>32</v>
      </c>
      <c r="G2" s="19">
        <v>15</v>
      </c>
      <c r="H2" s="19">
        <v>18</v>
      </c>
      <c r="I2" s="19">
        <f>G2+H2</f>
        <v>33</v>
      </c>
      <c r="J2" s="19">
        <f>G2-H2</f>
        <v>-3</v>
      </c>
      <c r="K2" s="19">
        <f>G2*H2</f>
        <v>270</v>
      </c>
      <c r="L2" s="19">
        <f>G2/H2</f>
        <v>0.83333333333333304</v>
      </c>
      <c r="M2" s="19">
        <f>SUM(G2,H2)</f>
        <v>33</v>
      </c>
      <c r="N2" s="19">
        <f>MAX(G2,H2)</f>
        <v>18</v>
      </c>
      <c r="O2" s="19">
        <f>MIN(G2,H2)</f>
        <v>15</v>
      </c>
      <c r="P2" s="19">
        <f>MIN(G2:G11)</f>
        <v>11</v>
      </c>
      <c r="Q2" s="19">
        <f>MAX(G2:G11)</f>
        <v>18</v>
      </c>
      <c r="R2" s="19">
        <f>$P$2*G2</f>
        <v>165</v>
      </c>
    </row>
    <row r="3" spans="1:23">
      <c r="A3" s="3">
        <v>2</v>
      </c>
      <c r="B3" s="3" t="s">
        <v>7</v>
      </c>
      <c r="C3" s="3">
        <v>21</v>
      </c>
      <c r="D3" s="3" t="s">
        <v>8</v>
      </c>
      <c r="E3" s="3">
        <v>9150845378</v>
      </c>
      <c r="F3" s="19" t="s">
        <v>33</v>
      </c>
      <c r="G3" s="19">
        <v>17</v>
      </c>
      <c r="H3" s="19">
        <v>16</v>
      </c>
      <c r="I3" s="19">
        <f t="shared" ref="I3:I11" si="0">G3+H3</f>
        <v>33</v>
      </c>
      <c r="J3" s="19">
        <f t="shared" ref="J3:J11" si="1">G3-H3</f>
        <v>1</v>
      </c>
      <c r="K3" s="19">
        <f t="shared" ref="K3:K11" si="2">G3*H3</f>
        <v>272</v>
      </c>
      <c r="L3" s="19">
        <f t="shared" ref="L3:L11" si="3">G3/H3</f>
        <v>1.0625</v>
      </c>
      <c r="M3" s="19">
        <f t="shared" ref="M3:M11" si="4">SUM(G3,H3)</f>
        <v>33</v>
      </c>
      <c r="N3" s="19">
        <f t="shared" ref="N3:N11" si="5">MAX(G3,H3)</f>
        <v>17</v>
      </c>
      <c r="O3" s="19">
        <f t="shared" ref="O3:O11" si="6">MIN(G3,H3)</f>
        <v>16</v>
      </c>
      <c r="P3" s="19"/>
      <c r="Q3" s="19"/>
      <c r="R3" s="19">
        <f t="shared" ref="R3:R11" si="7">$P$2*G3</f>
        <v>187</v>
      </c>
    </row>
    <row r="4" spans="1:23">
      <c r="A4" s="3">
        <v>3</v>
      </c>
      <c r="B4" s="3" t="s">
        <v>9</v>
      </c>
      <c r="C4" s="3">
        <v>23</v>
      </c>
      <c r="D4" s="3" t="s">
        <v>10</v>
      </c>
      <c r="E4" s="3">
        <v>9851648330</v>
      </c>
      <c r="F4" s="19" t="s">
        <v>34</v>
      </c>
      <c r="G4" s="19">
        <v>16</v>
      </c>
      <c r="H4" s="19">
        <v>18</v>
      </c>
      <c r="I4" s="19">
        <f t="shared" si="0"/>
        <v>34</v>
      </c>
      <c r="J4" s="19">
        <f t="shared" si="1"/>
        <v>-2</v>
      </c>
      <c r="K4" s="19">
        <f t="shared" si="2"/>
        <v>288</v>
      </c>
      <c r="L4" s="19">
        <f t="shared" si="3"/>
        <v>0.88888888888888895</v>
      </c>
      <c r="M4" s="19">
        <f t="shared" si="4"/>
        <v>34</v>
      </c>
      <c r="N4" s="19">
        <f t="shared" si="5"/>
        <v>18</v>
      </c>
      <c r="O4" s="19">
        <f t="shared" si="6"/>
        <v>16</v>
      </c>
      <c r="P4" s="19"/>
      <c r="Q4" s="19"/>
      <c r="R4" s="19">
        <f t="shared" si="7"/>
        <v>176</v>
      </c>
    </row>
    <row r="5" spans="1:23">
      <c r="A5" s="3">
        <v>4</v>
      </c>
      <c r="B5" s="3" t="s">
        <v>11</v>
      </c>
      <c r="C5" s="3">
        <v>20</v>
      </c>
      <c r="D5" s="3" t="s">
        <v>12</v>
      </c>
      <c r="E5" s="3">
        <v>9716841986</v>
      </c>
      <c r="F5" s="19" t="s">
        <v>35</v>
      </c>
      <c r="G5" s="19">
        <v>11</v>
      </c>
      <c r="H5" s="19">
        <v>13</v>
      </c>
      <c r="I5" s="19">
        <f t="shared" si="0"/>
        <v>24</v>
      </c>
      <c r="J5" s="19">
        <f t="shared" si="1"/>
        <v>-2</v>
      </c>
      <c r="K5" s="19">
        <f t="shared" si="2"/>
        <v>143</v>
      </c>
      <c r="L5" s="19">
        <f t="shared" si="3"/>
        <v>0.84615384615384603</v>
      </c>
      <c r="M5" s="19">
        <f t="shared" si="4"/>
        <v>24</v>
      </c>
      <c r="N5" s="19">
        <f t="shared" si="5"/>
        <v>13</v>
      </c>
      <c r="O5" s="19">
        <f t="shared" si="6"/>
        <v>11</v>
      </c>
      <c r="P5" s="19"/>
      <c r="Q5" s="19"/>
      <c r="R5" s="19">
        <f t="shared" si="7"/>
        <v>121</v>
      </c>
    </row>
    <row r="6" spans="1:23">
      <c r="A6" s="3">
        <v>5</v>
      </c>
      <c r="B6" s="3" t="s">
        <v>13</v>
      </c>
      <c r="C6" s="3">
        <v>23</v>
      </c>
      <c r="D6" s="3" t="s">
        <v>6</v>
      </c>
      <c r="E6" s="3">
        <v>9203283465</v>
      </c>
      <c r="F6" s="19" t="s">
        <v>36</v>
      </c>
      <c r="G6" s="19">
        <v>16</v>
      </c>
      <c r="H6" s="19">
        <v>17</v>
      </c>
      <c r="I6" s="19">
        <f t="shared" si="0"/>
        <v>33</v>
      </c>
      <c r="J6" s="19">
        <f t="shared" si="1"/>
        <v>-1</v>
      </c>
      <c r="K6" s="19">
        <f t="shared" si="2"/>
        <v>272</v>
      </c>
      <c r="L6" s="19">
        <f t="shared" si="3"/>
        <v>0.94117647058823495</v>
      </c>
      <c r="M6" s="19">
        <f t="shared" si="4"/>
        <v>33</v>
      </c>
      <c r="N6" s="19">
        <f t="shared" si="5"/>
        <v>17</v>
      </c>
      <c r="O6" s="19">
        <f t="shared" si="6"/>
        <v>16</v>
      </c>
      <c r="P6" s="19"/>
      <c r="Q6" s="19"/>
      <c r="R6" s="19">
        <f t="shared" si="7"/>
        <v>176</v>
      </c>
    </row>
    <row r="7" spans="1:23">
      <c r="A7" s="3">
        <v>6</v>
      </c>
      <c r="B7" s="3" t="s">
        <v>14</v>
      </c>
      <c r="C7" s="3">
        <v>19</v>
      </c>
      <c r="D7" s="3" t="s">
        <v>8</v>
      </c>
      <c r="E7" s="3">
        <v>9919663645</v>
      </c>
      <c r="F7" s="19" t="s">
        <v>37</v>
      </c>
      <c r="G7" s="19">
        <v>14</v>
      </c>
      <c r="H7" s="19">
        <v>19</v>
      </c>
      <c r="I7" s="19">
        <f t="shared" si="0"/>
        <v>33</v>
      </c>
      <c r="J7" s="19">
        <f t="shared" si="1"/>
        <v>-5</v>
      </c>
      <c r="K7" s="19">
        <f t="shared" si="2"/>
        <v>266</v>
      </c>
      <c r="L7" s="19">
        <f t="shared" si="3"/>
        <v>0.73684210526315796</v>
      </c>
      <c r="M7" s="19">
        <f t="shared" si="4"/>
        <v>33</v>
      </c>
      <c r="N7" s="19">
        <f t="shared" si="5"/>
        <v>19</v>
      </c>
      <c r="O7" s="19">
        <f t="shared" si="6"/>
        <v>14</v>
      </c>
      <c r="P7" s="19"/>
      <c r="Q7" s="19"/>
      <c r="R7" s="19">
        <f t="shared" si="7"/>
        <v>154</v>
      </c>
    </row>
    <row r="8" spans="1:23">
      <c r="A8" s="3">
        <v>7</v>
      </c>
      <c r="B8" s="3" t="s">
        <v>15</v>
      </c>
      <c r="C8" s="3">
        <v>18</v>
      </c>
      <c r="D8" s="3" t="s">
        <v>8</v>
      </c>
      <c r="E8" s="3">
        <v>9536742342</v>
      </c>
      <c r="F8" s="19" t="s">
        <v>38</v>
      </c>
      <c r="G8" s="19">
        <v>18</v>
      </c>
      <c r="H8" s="19">
        <v>18</v>
      </c>
      <c r="I8" s="19">
        <f t="shared" si="0"/>
        <v>36</v>
      </c>
      <c r="J8" s="19">
        <f t="shared" si="1"/>
        <v>0</v>
      </c>
      <c r="K8" s="19">
        <f t="shared" si="2"/>
        <v>324</v>
      </c>
      <c r="L8" s="19">
        <f t="shared" si="3"/>
        <v>1</v>
      </c>
      <c r="M8" s="19">
        <f t="shared" si="4"/>
        <v>36</v>
      </c>
      <c r="N8" s="19">
        <f t="shared" si="5"/>
        <v>18</v>
      </c>
      <c r="O8" s="19">
        <f t="shared" si="6"/>
        <v>18</v>
      </c>
      <c r="P8" s="19"/>
      <c r="Q8" s="19"/>
      <c r="R8" s="19">
        <f t="shared" si="7"/>
        <v>198</v>
      </c>
    </row>
    <row r="9" spans="1:23">
      <c r="A9" s="3">
        <v>8</v>
      </c>
      <c r="B9" s="3" t="s">
        <v>16</v>
      </c>
      <c r="C9" s="3">
        <v>20</v>
      </c>
      <c r="D9" s="3" t="s">
        <v>6</v>
      </c>
      <c r="E9" s="3">
        <v>9890086373</v>
      </c>
      <c r="F9" s="19" t="s">
        <v>32</v>
      </c>
      <c r="G9" s="19">
        <v>15</v>
      </c>
      <c r="H9" s="19">
        <v>16</v>
      </c>
      <c r="I9" s="19">
        <f t="shared" si="0"/>
        <v>31</v>
      </c>
      <c r="J9" s="19">
        <f t="shared" si="1"/>
        <v>-1</v>
      </c>
      <c r="K9" s="19">
        <f t="shared" si="2"/>
        <v>240</v>
      </c>
      <c r="L9" s="19">
        <f t="shared" si="3"/>
        <v>0.9375</v>
      </c>
      <c r="M9" s="19">
        <f t="shared" si="4"/>
        <v>31</v>
      </c>
      <c r="N9" s="19">
        <f t="shared" si="5"/>
        <v>16</v>
      </c>
      <c r="O9" s="19">
        <f t="shared" si="6"/>
        <v>15</v>
      </c>
      <c r="P9" s="19"/>
      <c r="Q9" s="19"/>
      <c r="R9" s="19">
        <f t="shared" si="7"/>
        <v>165</v>
      </c>
    </row>
    <row r="10" spans="1:23">
      <c r="A10" s="3">
        <v>9</v>
      </c>
      <c r="B10" s="3" t="s">
        <v>17</v>
      </c>
      <c r="C10" s="3">
        <v>18</v>
      </c>
      <c r="D10" s="3" t="s">
        <v>8</v>
      </c>
      <c r="E10" s="3">
        <v>9387856952</v>
      </c>
      <c r="F10" s="19" t="s">
        <v>33</v>
      </c>
      <c r="G10" s="19">
        <v>17</v>
      </c>
      <c r="H10" s="19">
        <v>15</v>
      </c>
      <c r="I10" s="19">
        <f t="shared" si="0"/>
        <v>32</v>
      </c>
      <c r="J10" s="19">
        <f t="shared" si="1"/>
        <v>2</v>
      </c>
      <c r="K10" s="19">
        <f t="shared" si="2"/>
        <v>255</v>
      </c>
      <c r="L10" s="19">
        <f t="shared" si="3"/>
        <v>1.13333333333333</v>
      </c>
      <c r="M10" s="19">
        <f t="shared" si="4"/>
        <v>32</v>
      </c>
      <c r="N10" s="19">
        <f t="shared" si="5"/>
        <v>17</v>
      </c>
      <c r="O10" s="19">
        <f t="shared" si="6"/>
        <v>15</v>
      </c>
      <c r="P10" s="19"/>
      <c r="Q10" s="19"/>
      <c r="R10" s="19">
        <f t="shared" si="7"/>
        <v>187</v>
      </c>
    </row>
    <row r="11" spans="1:23">
      <c r="A11" s="3">
        <v>10</v>
      </c>
      <c r="B11" s="3" t="s">
        <v>18</v>
      </c>
      <c r="C11" s="3">
        <v>25</v>
      </c>
      <c r="D11" s="3" t="s">
        <v>6</v>
      </c>
      <c r="E11" s="3">
        <v>9657033277</v>
      </c>
      <c r="F11" s="19" t="s">
        <v>34</v>
      </c>
      <c r="G11" s="19">
        <v>16</v>
      </c>
      <c r="H11" s="19">
        <v>11</v>
      </c>
      <c r="I11" s="19">
        <f t="shared" si="0"/>
        <v>27</v>
      </c>
      <c r="J11" s="19">
        <f t="shared" si="1"/>
        <v>5</v>
      </c>
      <c r="K11" s="19">
        <f t="shared" si="2"/>
        <v>176</v>
      </c>
      <c r="L11" s="19">
        <f t="shared" si="3"/>
        <v>1.4545454545454499</v>
      </c>
      <c r="M11" s="19">
        <f t="shared" si="4"/>
        <v>27</v>
      </c>
      <c r="N11" s="19">
        <f t="shared" si="5"/>
        <v>16</v>
      </c>
      <c r="O11" s="19">
        <f t="shared" si="6"/>
        <v>11</v>
      </c>
      <c r="P11" s="19"/>
      <c r="Q11" s="19"/>
      <c r="R11" s="19">
        <f t="shared" si="7"/>
        <v>176</v>
      </c>
    </row>
    <row r="15" spans="1:23">
      <c r="R15" s="20" t="s">
        <v>39</v>
      </c>
    </row>
    <row r="16" spans="1:23">
      <c r="M16" s="18">
        <v>1</v>
      </c>
      <c r="N16" s="19">
        <v>1</v>
      </c>
      <c r="O16" s="19">
        <v>2</v>
      </c>
      <c r="P16" s="19">
        <v>3</v>
      </c>
      <c r="Q16" s="19">
        <v>4</v>
      </c>
      <c r="R16" s="19">
        <v>5</v>
      </c>
      <c r="S16" s="19">
        <v>6</v>
      </c>
      <c r="T16" s="19">
        <v>7</v>
      </c>
      <c r="U16" s="19">
        <v>8</v>
      </c>
      <c r="V16" s="19">
        <v>9</v>
      </c>
      <c r="W16" s="19">
        <v>10</v>
      </c>
    </row>
    <row r="17" spans="13:23">
      <c r="M17" s="18">
        <v>2</v>
      </c>
      <c r="N17" s="19">
        <f>N$16*$M17</f>
        <v>2</v>
      </c>
      <c r="O17" s="19">
        <f t="shared" ref="O17:W17" si="8">O$16*$M17</f>
        <v>4</v>
      </c>
      <c r="P17" s="19">
        <f t="shared" si="8"/>
        <v>6</v>
      </c>
      <c r="Q17" s="19">
        <f t="shared" si="8"/>
        <v>8</v>
      </c>
      <c r="R17" s="19">
        <f t="shared" si="8"/>
        <v>10</v>
      </c>
      <c r="S17" s="19">
        <f t="shared" si="8"/>
        <v>12</v>
      </c>
      <c r="T17" s="19">
        <f t="shared" si="8"/>
        <v>14</v>
      </c>
      <c r="U17" s="19">
        <f t="shared" si="8"/>
        <v>16</v>
      </c>
      <c r="V17" s="19">
        <f t="shared" si="8"/>
        <v>18</v>
      </c>
      <c r="W17" s="19">
        <f t="shared" si="8"/>
        <v>20</v>
      </c>
    </row>
    <row r="18" spans="13:23">
      <c r="M18" s="18">
        <v>3</v>
      </c>
      <c r="N18" s="19">
        <f t="shared" ref="N18:W25" si="9">N$16*$M18</f>
        <v>3</v>
      </c>
      <c r="O18" s="19">
        <f t="shared" si="9"/>
        <v>6</v>
      </c>
      <c r="P18" s="19">
        <f t="shared" si="9"/>
        <v>9</v>
      </c>
      <c r="Q18" s="19">
        <f t="shared" si="9"/>
        <v>12</v>
      </c>
      <c r="R18" s="19">
        <f t="shared" si="9"/>
        <v>15</v>
      </c>
      <c r="S18" s="19">
        <f t="shared" si="9"/>
        <v>18</v>
      </c>
      <c r="T18" s="19">
        <f t="shared" si="9"/>
        <v>21</v>
      </c>
      <c r="U18" s="19">
        <f t="shared" si="9"/>
        <v>24</v>
      </c>
      <c r="V18" s="19">
        <f t="shared" si="9"/>
        <v>27</v>
      </c>
      <c r="W18" s="19">
        <f t="shared" si="9"/>
        <v>30</v>
      </c>
    </row>
    <row r="19" spans="13:23">
      <c r="M19" s="18">
        <v>4</v>
      </c>
      <c r="N19" s="19">
        <f t="shared" si="9"/>
        <v>4</v>
      </c>
      <c r="O19" s="19">
        <f t="shared" si="9"/>
        <v>8</v>
      </c>
      <c r="P19" s="19">
        <f t="shared" si="9"/>
        <v>12</v>
      </c>
      <c r="Q19" s="19">
        <f t="shared" si="9"/>
        <v>16</v>
      </c>
      <c r="R19" s="19">
        <f t="shared" si="9"/>
        <v>20</v>
      </c>
      <c r="S19" s="19">
        <f t="shared" si="9"/>
        <v>24</v>
      </c>
      <c r="T19" s="19">
        <f t="shared" si="9"/>
        <v>28</v>
      </c>
      <c r="U19" s="19">
        <f t="shared" si="9"/>
        <v>32</v>
      </c>
      <c r="V19" s="19">
        <f t="shared" si="9"/>
        <v>36</v>
      </c>
      <c r="W19" s="19">
        <f t="shared" si="9"/>
        <v>40</v>
      </c>
    </row>
    <row r="20" spans="13:23">
      <c r="M20" s="18">
        <v>5</v>
      </c>
      <c r="N20" s="19">
        <f t="shared" si="9"/>
        <v>5</v>
      </c>
      <c r="O20" s="19">
        <f t="shared" si="9"/>
        <v>10</v>
      </c>
      <c r="P20" s="19">
        <f t="shared" si="9"/>
        <v>15</v>
      </c>
      <c r="Q20" s="19">
        <f t="shared" si="9"/>
        <v>20</v>
      </c>
      <c r="R20" s="19">
        <f t="shared" si="9"/>
        <v>25</v>
      </c>
      <c r="S20" s="19">
        <f t="shared" si="9"/>
        <v>30</v>
      </c>
      <c r="T20" s="19">
        <f t="shared" si="9"/>
        <v>35</v>
      </c>
      <c r="U20" s="19">
        <f t="shared" si="9"/>
        <v>40</v>
      </c>
      <c r="V20" s="19">
        <f t="shared" si="9"/>
        <v>45</v>
      </c>
      <c r="W20" s="19">
        <f t="shared" si="9"/>
        <v>50</v>
      </c>
    </row>
    <row r="21" spans="13:23">
      <c r="M21" s="18">
        <v>6</v>
      </c>
      <c r="N21" s="19">
        <f t="shared" si="9"/>
        <v>6</v>
      </c>
      <c r="O21" s="19">
        <f t="shared" si="9"/>
        <v>12</v>
      </c>
      <c r="P21" s="19">
        <f t="shared" si="9"/>
        <v>18</v>
      </c>
      <c r="Q21" s="19">
        <f t="shared" si="9"/>
        <v>24</v>
      </c>
      <c r="R21" s="19">
        <f t="shared" si="9"/>
        <v>30</v>
      </c>
      <c r="S21" s="19">
        <f t="shared" si="9"/>
        <v>36</v>
      </c>
      <c r="T21" s="19">
        <f t="shared" si="9"/>
        <v>42</v>
      </c>
      <c r="U21" s="19">
        <f t="shared" si="9"/>
        <v>48</v>
      </c>
      <c r="V21" s="19">
        <f t="shared" si="9"/>
        <v>54</v>
      </c>
      <c r="W21" s="19">
        <f t="shared" si="9"/>
        <v>60</v>
      </c>
    </row>
    <row r="22" spans="13:23">
      <c r="M22" s="18">
        <v>7</v>
      </c>
      <c r="N22" s="19">
        <f t="shared" si="9"/>
        <v>7</v>
      </c>
      <c r="O22" s="19">
        <f t="shared" si="9"/>
        <v>14</v>
      </c>
      <c r="P22" s="19">
        <f t="shared" si="9"/>
        <v>21</v>
      </c>
      <c r="Q22" s="19">
        <f t="shared" si="9"/>
        <v>28</v>
      </c>
      <c r="R22" s="19">
        <f t="shared" si="9"/>
        <v>35</v>
      </c>
      <c r="S22" s="19">
        <f t="shared" si="9"/>
        <v>42</v>
      </c>
      <c r="T22" s="19">
        <f t="shared" si="9"/>
        <v>49</v>
      </c>
      <c r="U22" s="19">
        <f t="shared" si="9"/>
        <v>56</v>
      </c>
      <c r="V22" s="19">
        <f t="shared" si="9"/>
        <v>63</v>
      </c>
      <c r="W22" s="19">
        <f t="shared" si="9"/>
        <v>70</v>
      </c>
    </row>
    <row r="23" spans="13:23">
      <c r="M23" s="18">
        <v>8</v>
      </c>
      <c r="N23" s="19">
        <f t="shared" si="9"/>
        <v>8</v>
      </c>
      <c r="O23" s="19">
        <f t="shared" si="9"/>
        <v>16</v>
      </c>
      <c r="P23" s="19">
        <f t="shared" si="9"/>
        <v>24</v>
      </c>
      <c r="Q23" s="19">
        <f t="shared" si="9"/>
        <v>32</v>
      </c>
      <c r="R23" s="19">
        <f t="shared" si="9"/>
        <v>40</v>
      </c>
      <c r="S23" s="19">
        <f t="shared" si="9"/>
        <v>48</v>
      </c>
      <c r="T23" s="19">
        <f t="shared" si="9"/>
        <v>56</v>
      </c>
      <c r="U23" s="19">
        <f t="shared" si="9"/>
        <v>64</v>
      </c>
      <c r="V23" s="19">
        <f t="shared" si="9"/>
        <v>72</v>
      </c>
      <c r="W23" s="19">
        <f t="shared" si="9"/>
        <v>80</v>
      </c>
    </row>
    <row r="24" spans="13:23">
      <c r="M24" s="18">
        <v>9</v>
      </c>
      <c r="N24" s="19">
        <f t="shared" si="9"/>
        <v>9</v>
      </c>
      <c r="O24" s="19">
        <f t="shared" si="9"/>
        <v>18</v>
      </c>
      <c r="P24" s="19">
        <f t="shared" si="9"/>
        <v>27</v>
      </c>
      <c r="Q24" s="19">
        <f t="shared" si="9"/>
        <v>36</v>
      </c>
      <c r="R24" s="19">
        <f t="shared" si="9"/>
        <v>45</v>
      </c>
      <c r="S24" s="19">
        <f t="shared" si="9"/>
        <v>54</v>
      </c>
      <c r="T24" s="19">
        <f t="shared" si="9"/>
        <v>63</v>
      </c>
      <c r="U24" s="19">
        <f t="shared" si="9"/>
        <v>72</v>
      </c>
      <c r="V24" s="19">
        <f t="shared" si="9"/>
        <v>81</v>
      </c>
      <c r="W24" s="19">
        <f t="shared" si="9"/>
        <v>90</v>
      </c>
    </row>
    <row r="25" spans="13:23">
      <c r="M25" s="18">
        <v>10</v>
      </c>
      <c r="N25" s="19">
        <f t="shared" si="9"/>
        <v>10</v>
      </c>
      <c r="O25" s="19">
        <f t="shared" si="9"/>
        <v>20</v>
      </c>
      <c r="P25" s="19">
        <f t="shared" si="9"/>
        <v>30</v>
      </c>
      <c r="Q25" s="19">
        <f t="shared" si="9"/>
        <v>40</v>
      </c>
      <c r="R25" s="19">
        <f t="shared" si="9"/>
        <v>50</v>
      </c>
      <c r="S25" s="19">
        <f t="shared" si="9"/>
        <v>60</v>
      </c>
      <c r="T25" s="19">
        <f t="shared" si="9"/>
        <v>70</v>
      </c>
      <c r="U25" s="19">
        <f t="shared" si="9"/>
        <v>80</v>
      </c>
      <c r="V25" s="19">
        <f t="shared" si="9"/>
        <v>90</v>
      </c>
      <c r="W25" s="19">
        <f t="shared" si="9"/>
        <v>100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"/>
  <sheetViews>
    <sheetView topLeftCell="D1" zoomScale="130" zoomScaleNormal="130" workbookViewId="0">
      <selection activeCell="N9" sqref="N9"/>
    </sheetView>
  </sheetViews>
  <sheetFormatPr defaultColWidth="9" defaultRowHeight="14.4"/>
  <cols>
    <col min="1" max="1" width="5.33203125" customWidth="1"/>
    <col min="2" max="2" width="9.6640625" customWidth="1"/>
    <col min="3" max="3" width="12.33203125" customWidth="1"/>
    <col min="4" max="4" width="10.6640625" customWidth="1"/>
    <col min="5" max="5" width="11.6640625" customWidth="1"/>
    <col min="6" max="9" width="18.5546875" customWidth="1"/>
    <col min="10" max="10" width="4.44140625" customWidth="1"/>
    <col min="11" max="11" width="7.5546875" customWidth="1"/>
    <col min="12" max="14" width="12.109375" customWidth="1"/>
    <col min="15" max="15" width="11" customWidth="1"/>
    <col min="16" max="16" width="10.6640625" customWidth="1"/>
  </cols>
  <sheetData>
    <row r="1" spans="1:18" ht="15.6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2</v>
      </c>
      <c r="K1" s="1" t="s">
        <v>3</v>
      </c>
      <c r="L1" s="1" t="s">
        <v>4</v>
      </c>
      <c r="N1" s="13" t="s">
        <v>47</v>
      </c>
      <c r="O1" s="2" t="s">
        <v>48</v>
      </c>
      <c r="P1" s="2" t="s">
        <v>49</v>
      </c>
    </row>
    <row r="2" spans="1:18" ht="15.6">
      <c r="A2" s="3">
        <v>1</v>
      </c>
      <c r="B2" s="3" t="s">
        <v>50</v>
      </c>
      <c r="C2" s="3" t="str">
        <f>PROPER(B2)</f>
        <v>Het</v>
      </c>
      <c r="D2" s="3" t="str">
        <f>LOWER(B2)</f>
        <v>het</v>
      </c>
      <c r="E2" s="3" t="str">
        <f>UPPER(C2)</f>
        <v>HET</v>
      </c>
      <c r="F2" s="3" t="s">
        <v>51</v>
      </c>
      <c r="G2" s="3">
        <f>LEN(F2)</f>
        <v>9</v>
      </c>
      <c r="H2" s="3">
        <f>LEN(I2)</f>
        <v>3</v>
      </c>
      <c r="I2" s="3" t="str">
        <f>TRIM(F2)</f>
        <v>het</v>
      </c>
      <c r="J2" s="3">
        <v>23</v>
      </c>
      <c r="K2" s="3" t="s">
        <v>6</v>
      </c>
      <c r="L2" s="14">
        <v>9610420120</v>
      </c>
      <c r="N2" t="s">
        <v>52</v>
      </c>
      <c r="O2" t="str">
        <f>LEFT(N2,FIND("-",N2,1)-1)</f>
        <v>Harsh</v>
      </c>
      <c r="P2" t="str">
        <f>RIGHT(N2,LEN(N2)-FIND("-",N2,1))</f>
        <v>Gupta</v>
      </c>
      <c r="Q2" t="s">
        <v>11</v>
      </c>
      <c r="R2" t="s">
        <v>53</v>
      </c>
    </row>
    <row r="3" spans="1:18" ht="15.6">
      <c r="A3" s="3">
        <v>2</v>
      </c>
      <c r="B3" s="3" t="s">
        <v>54</v>
      </c>
      <c r="C3" s="3" t="str">
        <f t="shared" ref="C3:C11" si="0">PROPER(B3)</f>
        <v>Riya</v>
      </c>
      <c r="D3" s="3" t="str">
        <f t="shared" ref="D3:D11" si="1">LOWER(B3)</f>
        <v>riya</v>
      </c>
      <c r="E3" s="3" t="str">
        <f t="shared" ref="E3:E11" si="2">UPPER(C3)</f>
        <v>RIYA</v>
      </c>
      <c r="F3" s="3" t="s">
        <v>55</v>
      </c>
      <c r="G3" s="3">
        <f t="shared" ref="G3:G12" si="3">LEN(F3)</f>
        <v>8</v>
      </c>
      <c r="H3" s="3">
        <f t="shared" ref="H3:H12" si="4">LEN(I3)</f>
        <v>4</v>
      </c>
      <c r="I3" s="3" t="str">
        <f t="shared" ref="I3:I12" si="5">TRIM(F3)</f>
        <v>RiYa</v>
      </c>
      <c r="J3" s="3">
        <v>21</v>
      </c>
      <c r="K3" s="3" t="s">
        <v>8</v>
      </c>
      <c r="L3" s="3">
        <v>9150845378</v>
      </c>
      <c r="N3" t="s">
        <v>56</v>
      </c>
      <c r="O3" t="str">
        <f>LEFT(N3,FIND("-",N3,1)-1)</f>
        <v>Rohan</v>
      </c>
      <c r="P3" t="str">
        <f>RIGHT(N3,LEN(N3)-FIND("-",N3,1))</f>
        <v>Patel</v>
      </c>
      <c r="Q3" t="s">
        <v>57</v>
      </c>
      <c r="R3" t="s">
        <v>58</v>
      </c>
    </row>
    <row r="4" spans="1:18" ht="15.6">
      <c r="A4" s="3">
        <v>3</v>
      </c>
      <c r="B4" s="3" t="s">
        <v>59</v>
      </c>
      <c r="C4" s="3" t="str">
        <f t="shared" si="0"/>
        <v>Lopender</v>
      </c>
      <c r="D4" s="3" t="str">
        <f t="shared" si="1"/>
        <v>lopender</v>
      </c>
      <c r="E4" s="3" t="str">
        <f t="shared" si="2"/>
        <v>LOPENDER</v>
      </c>
      <c r="F4" s="3" t="s">
        <v>60</v>
      </c>
      <c r="G4" s="3">
        <f t="shared" si="3"/>
        <v>15</v>
      </c>
      <c r="H4" s="3">
        <f t="shared" si="4"/>
        <v>8</v>
      </c>
      <c r="I4" s="3" t="str">
        <f t="shared" si="5"/>
        <v>LopendeR</v>
      </c>
      <c r="J4" s="3">
        <v>23</v>
      </c>
      <c r="K4" s="3" t="s">
        <v>10</v>
      </c>
      <c r="L4" s="3">
        <v>9851648330</v>
      </c>
    </row>
    <row r="5" spans="1:18" ht="15.6">
      <c r="A5" s="3">
        <v>4</v>
      </c>
      <c r="B5" s="3" t="s">
        <v>11</v>
      </c>
      <c r="C5" s="3" t="str">
        <f t="shared" si="0"/>
        <v>Harsh</v>
      </c>
      <c r="D5" s="3" t="str">
        <f t="shared" si="1"/>
        <v>harsh</v>
      </c>
      <c r="E5" s="3" t="str">
        <f t="shared" si="2"/>
        <v>HARSH</v>
      </c>
      <c r="F5" s="3" t="s">
        <v>61</v>
      </c>
      <c r="G5" s="3">
        <f t="shared" si="3"/>
        <v>11</v>
      </c>
      <c r="H5" s="3">
        <f t="shared" si="4"/>
        <v>5</v>
      </c>
      <c r="I5" s="3" t="str">
        <f t="shared" si="5"/>
        <v>Harsh</v>
      </c>
      <c r="J5" s="3">
        <v>20</v>
      </c>
      <c r="K5" s="3" t="s">
        <v>12</v>
      </c>
      <c r="L5" s="3">
        <v>9716841986</v>
      </c>
    </row>
    <row r="6" spans="1:18" ht="15.6">
      <c r="A6" s="3">
        <v>5</v>
      </c>
      <c r="B6" s="3" t="s">
        <v>13</v>
      </c>
      <c r="C6" s="3" t="str">
        <f t="shared" si="0"/>
        <v>Shahid</v>
      </c>
      <c r="D6" s="3" t="str">
        <f t="shared" si="1"/>
        <v>shahid</v>
      </c>
      <c r="E6" s="3" t="str">
        <f t="shared" si="2"/>
        <v>SHAHID</v>
      </c>
      <c r="F6" s="3" t="s">
        <v>62</v>
      </c>
      <c r="G6" s="3">
        <f t="shared" si="3"/>
        <v>15</v>
      </c>
      <c r="H6" s="3">
        <f t="shared" si="4"/>
        <v>6</v>
      </c>
      <c r="I6" s="3" t="str">
        <f t="shared" si="5"/>
        <v>Shahid</v>
      </c>
      <c r="J6" s="3">
        <v>23</v>
      </c>
      <c r="K6" s="3" t="s">
        <v>6</v>
      </c>
      <c r="L6" s="3">
        <v>9203283465</v>
      </c>
    </row>
    <row r="7" spans="1:18" ht="15.6">
      <c r="A7" s="3">
        <v>6</v>
      </c>
      <c r="B7" s="3" t="s">
        <v>14</v>
      </c>
      <c r="C7" s="3" t="str">
        <f t="shared" si="0"/>
        <v>Priya</v>
      </c>
      <c r="D7" s="3" t="str">
        <f t="shared" si="1"/>
        <v>priya</v>
      </c>
      <c r="E7" s="3" t="str">
        <f t="shared" si="2"/>
        <v>PRIYA</v>
      </c>
      <c r="F7" s="3" t="s">
        <v>63</v>
      </c>
      <c r="G7" s="3">
        <f t="shared" si="3"/>
        <v>12</v>
      </c>
      <c r="H7" s="3">
        <f t="shared" si="4"/>
        <v>5</v>
      </c>
      <c r="I7" s="3" t="str">
        <f t="shared" si="5"/>
        <v>Priya</v>
      </c>
      <c r="J7" s="3">
        <v>19</v>
      </c>
      <c r="K7" s="3" t="s">
        <v>8</v>
      </c>
      <c r="L7" s="3">
        <v>9919663645</v>
      </c>
    </row>
    <row r="8" spans="1:18" ht="15.6">
      <c r="A8" s="3">
        <v>7</v>
      </c>
      <c r="B8" s="3" t="s">
        <v>15</v>
      </c>
      <c r="C8" s="3" t="str">
        <f t="shared" si="0"/>
        <v>Param</v>
      </c>
      <c r="D8" s="3" t="str">
        <f t="shared" si="1"/>
        <v>param</v>
      </c>
      <c r="E8" s="3" t="str">
        <f t="shared" si="2"/>
        <v>PARAM</v>
      </c>
      <c r="F8" s="3" t="s">
        <v>64</v>
      </c>
      <c r="G8" s="3">
        <f t="shared" si="3"/>
        <v>14</v>
      </c>
      <c r="H8" s="3">
        <f t="shared" si="4"/>
        <v>5</v>
      </c>
      <c r="I8" s="3" t="str">
        <f t="shared" si="5"/>
        <v>Param</v>
      </c>
      <c r="J8" s="3">
        <v>18</v>
      </c>
      <c r="K8" s="3" t="s">
        <v>8</v>
      </c>
      <c r="L8" s="3">
        <v>9536742342</v>
      </c>
    </row>
    <row r="9" spans="1:18" ht="15.6">
      <c r="A9" s="3">
        <v>8</v>
      </c>
      <c r="B9" s="3" t="s">
        <v>16</v>
      </c>
      <c r="C9" s="3" t="str">
        <f t="shared" si="0"/>
        <v>Soham</v>
      </c>
      <c r="D9" s="3" t="str">
        <f t="shared" si="1"/>
        <v>soham</v>
      </c>
      <c r="E9" s="3" t="str">
        <f t="shared" si="2"/>
        <v>SOHAM</v>
      </c>
      <c r="F9" s="3" t="s">
        <v>16</v>
      </c>
      <c r="G9" s="3">
        <f t="shared" si="3"/>
        <v>5</v>
      </c>
      <c r="H9" s="3">
        <f t="shared" si="4"/>
        <v>5</v>
      </c>
      <c r="I9" s="3" t="str">
        <f t="shared" si="5"/>
        <v>Soham</v>
      </c>
      <c r="J9" s="3">
        <v>20</v>
      </c>
      <c r="K9" s="3" t="s">
        <v>6</v>
      </c>
      <c r="L9" s="3">
        <v>9890086373</v>
      </c>
    </row>
    <row r="10" spans="1:18" ht="15.6">
      <c r="A10" s="3">
        <v>9</v>
      </c>
      <c r="B10" s="3" t="s">
        <v>17</v>
      </c>
      <c r="C10" s="3" t="str">
        <f t="shared" si="0"/>
        <v>Sejal</v>
      </c>
      <c r="D10" s="3" t="str">
        <f t="shared" si="1"/>
        <v>sejal</v>
      </c>
      <c r="E10" s="3" t="str">
        <f t="shared" si="2"/>
        <v>SEJAL</v>
      </c>
      <c r="F10" s="3" t="s">
        <v>65</v>
      </c>
      <c r="G10" s="3">
        <f t="shared" si="3"/>
        <v>10</v>
      </c>
      <c r="H10" s="3">
        <f t="shared" si="4"/>
        <v>5</v>
      </c>
      <c r="I10" s="3" t="str">
        <f t="shared" si="5"/>
        <v>Sejal</v>
      </c>
      <c r="J10" s="3">
        <v>18</v>
      </c>
      <c r="K10" s="3" t="s">
        <v>8</v>
      </c>
      <c r="L10" s="3">
        <v>9387856952</v>
      </c>
    </row>
    <row r="11" spans="1:18" ht="15.6">
      <c r="A11" s="3">
        <v>10</v>
      </c>
      <c r="B11" s="3" t="s">
        <v>18</v>
      </c>
      <c r="C11" s="3" t="str">
        <f t="shared" si="0"/>
        <v>Arun</v>
      </c>
      <c r="D11" s="3" t="str">
        <f t="shared" si="1"/>
        <v>arun</v>
      </c>
      <c r="E11" s="3" t="str">
        <f t="shared" si="2"/>
        <v>ARUN</v>
      </c>
      <c r="F11" s="3" t="s">
        <v>66</v>
      </c>
      <c r="G11" s="3">
        <f t="shared" si="3"/>
        <v>15</v>
      </c>
      <c r="H11" s="3">
        <f t="shared" si="4"/>
        <v>4</v>
      </c>
      <c r="I11" s="3" t="str">
        <f t="shared" si="5"/>
        <v>Arun</v>
      </c>
      <c r="J11" s="3">
        <v>25</v>
      </c>
      <c r="K11" s="3" t="s">
        <v>6</v>
      </c>
      <c r="L11" s="3">
        <v>9657033277</v>
      </c>
    </row>
    <row r="12" spans="1:18" ht="15.6">
      <c r="G12" s="3">
        <f t="shared" si="3"/>
        <v>0</v>
      </c>
      <c r="H12" s="3">
        <f t="shared" si="4"/>
        <v>0</v>
      </c>
      <c r="I12" s="3" t="str">
        <f t="shared" si="5"/>
        <v/>
      </c>
      <c r="L12" s="15">
        <v>5456454545</v>
      </c>
    </row>
  </sheetData>
  <dataValidations count="1">
    <dataValidation type="textLength" allowBlank="1" showInputMessage="1" showErrorMessage="1" sqref="L1:M1048576" xr:uid="{00000000-0002-0000-0200-000000000000}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1"/>
  <sheetViews>
    <sheetView workbookViewId="0">
      <selection sqref="A1:G11"/>
    </sheetView>
  </sheetViews>
  <sheetFormatPr defaultColWidth="8.88671875" defaultRowHeight="14.4"/>
  <cols>
    <col min="1" max="3" width="8.88671875" style="8"/>
    <col min="4" max="4" width="13.5546875" style="8" customWidth="1"/>
    <col min="5" max="5" width="12.109375" style="8" customWidth="1"/>
    <col min="6" max="7" width="8.88671875" style="8"/>
    <col min="8" max="8" width="12.33203125" style="8" customWidth="1"/>
    <col min="9" max="9" width="11.109375" style="8" customWidth="1"/>
    <col min="10" max="10" width="13.109375" style="8" customWidth="1"/>
    <col min="11" max="11" width="10.6640625" style="8" customWidth="1"/>
    <col min="12" max="12" width="8.88671875" style="8"/>
    <col min="13" max="13" width="11.109375" style="8" customWidth="1"/>
    <col min="14" max="14" width="11.5546875" style="8" customWidth="1"/>
    <col min="15" max="18" width="8.88671875" style="8"/>
    <col min="19" max="19" width="12.88671875" style="8" customWidth="1"/>
    <col min="20" max="16384" width="8.88671875" style="8"/>
  </cols>
  <sheetData>
    <row r="1" spans="1:21" ht="15.6">
      <c r="A1" s="1" t="s">
        <v>0</v>
      </c>
      <c r="B1" s="1" t="s">
        <v>1</v>
      </c>
      <c r="C1" s="1" t="s">
        <v>2</v>
      </c>
      <c r="D1" s="1" t="s">
        <v>67</v>
      </c>
      <c r="E1" s="1" t="s">
        <v>4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P1" s="11" t="s">
        <v>77</v>
      </c>
      <c r="Q1" s="11" t="s">
        <v>78</v>
      </c>
      <c r="R1" s="11" t="s">
        <v>79</v>
      </c>
      <c r="S1" s="12" t="s">
        <v>80</v>
      </c>
      <c r="T1" s="12" t="s">
        <v>81</v>
      </c>
      <c r="U1" s="12" t="s">
        <v>82</v>
      </c>
    </row>
    <row r="2" spans="1:21" ht="15.6">
      <c r="A2" s="3">
        <v>1</v>
      </c>
      <c r="B2" s="3" t="s">
        <v>5</v>
      </c>
      <c r="C2" s="3">
        <v>23</v>
      </c>
      <c r="D2" s="3" t="s">
        <v>83</v>
      </c>
      <c r="E2" s="9">
        <v>9610420120</v>
      </c>
      <c r="F2" s="10">
        <v>83585</v>
      </c>
      <c r="G2" s="10" t="str">
        <f>IF(F2&gt;45000,"Taxable","No Tax")</f>
        <v>Taxable</v>
      </c>
      <c r="H2" s="10">
        <f>IF(F2&lt;45000,F2-200,IF(F2&lt;60000,F2-500,F2-1000))</f>
        <v>82585</v>
      </c>
      <c r="I2" s="10">
        <f>F2-H2</f>
        <v>1000</v>
      </c>
      <c r="J2" s="10">
        <f>_xlfn.IFS(F2&lt;45000,F2-200,F2&lt;60000,F2-500,F2&lt;80000,F2-1000,F2&gt;80000,F2-1500)</f>
        <v>82085</v>
      </c>
      <c r="K2" s="10" t="str">
        <f>IF(AND(F2&gt;50000,D2="Sales"),"Sales Team","Other Team")</f>
        <v>Sales Team</v>
      </c>
      <c r="L2" s="10" t="s">
        <v>84</v>
      </c>
      <c r="M2" s="10" t="str">
        <f>IF(OR(D2="HR",F2&gt;70000),"Abroad","India")</f>
        <v>Abroad</v>
      </c>
      <c r="N2" s="10" t="str">
        <f>IF(NOT(M2="India"),"International","Domestic")</f>
        <v>International</v>
      </c>
      <c r="P2" s="10">
        <v>1</v>
      </c>
      <c r="Q2" s="10">
        <v>2</v>
      </c>
      <c r="R2" s="10">
        <f>P2/Q2</f>
        <v>0.5</v>
      </c>
      <c r="S2" s="10">
        <f>IFERROR(P2/Q2,"Error")</f>
        <v>0.5</v>
      </c>
      <c r="T2" s="10" t="b">
        <f>ISERROR(R2)</f>
        <v>0</v>
      </c>
      <c r="U2" s="10">
        <f>IF(ISERROR(P2/Q2),"Invalid",P2/Q2)</f>
        <v>0.5</v>
      </c>
    </row>
    <row r="3" spans="1:21" ht="15.6">
      <c r="A3" s="3">
        <v>2</v>
      </c>
      <c r="B3" s="3" t="s">
        <v>7</v>
      </c>
      <c r="C3" s="3">
        <v>21</v>
      </c>
      <c r="D3" s="3" t="s">
        <v>85</v>
      </c>
      <c r="E3" s="6">
        <v>9150845378</v>
      </c>
      <c r="F3" s="10">
        <v>79607</v>
      </c>
      <c r="G3" s="10" t="str">
        <f t="shared" ref="G3:G11" si="0">IF(F3&gt;45000,"Taxable","No Tax")</f>
        <v>Taxable</v>
      </c>
      <c r="H3" s="10">
        <f t="shared" ref="H3:H11" si="1">IF(F3&lt;45000,F3-200,IF(F3&lt;60000,F3-500,F3-1000))</f>
        <v>78607</v>
      </c>
      <c r="I3" s="10">
        <f t="shared" ref="I3:I11" si="2">F3-H3</f>
        <v>1000</v>
      </c>
      <c r="J3" s="10">
        <f t="shared" ref="J3:J11" si="3">_xlfn.IFS(F3&lt;45000,F3-200,F3&lt;60000,F3-500,F3&lt;80000,F3-1000,F3&gt;80000,F3-1500)</f>
        <v>78607</v>
      </c>
      <c r="K3" s="10" t="str">
        <f t="shared" ref="K3:K11" si="4">IF(AND(F3&gt;50000,D3="Sales"),"Sales Team","Other Team")</f>
        <v>Other Team</v>
      </c>
      <c r="L3" s="10" t="s">
        <v>86</v>
      </c>
      <c r="M3" s="10" t="str">
        <f t="shared" ref="M3:M11" si="5">IF(OR(D3="HR",F3&gt;70000),"Abroad","India")</f>
        <v>Abroad</v>
      </c>
      <c r="N3" s="10" t="str">
        <f t="shared" ref="N3:N11" si="6">IF(NOT(M3="India"),"International","Domestic")</f>
        <v>International</v>
      </c>
      <c r="P3" s="10">
        <v>3</v>
      </c>
      <c r="Q3" s="10">
        <v>0</v>
      </c>
      <c r="R3" s="10" t="e">
        <f t="shared" ref="R3:R11" si="7">P3/Q3</f>
        <v>#DIV/0!</v>
      </c>
      <c r="S3" s="10" t="str">
        <f t="shared" ref="S3:S11" si="8">IFERROR(P3/Q3,"Error")</f>
        <v>Error</v>
      </c>
      <c r="T3" s="10" t="b">
        <f t="shared" ref="T3:T11" si="9">ISERROR(R3)</f>
        <v>1</v>
      </c>
      <c r="U3" s="10" t="str">
        <f t="shared" ref="U3:U11" si="10">IF(ISERROR(P3/Q3),"Invalid",P3/Q3)</f>
        <v>Invalid</v>
      </c>
    </row>
    <row r="4" spans="1:21" ht="15.6">
      <c r="A4" s="3">
        <v>3</v>
      </c>
      <c r="B4" s="3" t="s">
        <v>9</v>
      </c>
      <c r="C4" s="3">
        <v>23</v>
      </c>
      <c r="D4" s="3" t="s">
        <v>87</v>
      </c>
      <c r="E4" s="6">
        <v>9851648330</v>
      </c>
      <c r="F4" s="10">
        <v>42432</v>
      </c>
      <c r="G4" s="10" t="str">
        <f t="shared" si="0"/>
        <v>No Tax</v>
      </c>
      <c r="H4" s="10">
        <f t="shared" si="1"/>
        <v>42232</v>
      </c>
      <c r="I4" s="10">
        <f t="shared" si="2"/>
        <v>200</v>
      </c>
      <c r="J4" s="10">
        <f t="shared" si="3"/>
        <v>42232</v>
      </c>
      <c r="K4" s="10" t="str">
        <f t="shared" si="4"/>
        <v>Other Team</v>
      </c>
      <c r="L4" s="10" t="s">
        <v>88</v>
      </c>
      <c r="M4" s="10" t="str">
        <f t="shared" si="5"/>
        <v>India</v>
      </c>
      <c r="N4" s="10" t="str">
        <f t="shared" si="6"/>
        <v>Domestic</v>
      </c>
      <c r="P4" s="10">
        <v>5</v>
      </c>
      <c r="Q4" s="10">
        <v>2</v>
      </c>
      <c r="R4" s="10">
        <f t="shared" si="7"/>
        <v>2.5</v>
      </c>
      <c r="S4" s="10">
        <f t="shared" si="8"/>
        <v>2.5</v>
      </c>
      <c r="T4" s="10" t="b">
        <f t="shared" si="9"/>
        <v>0</v>
      </c>
      <c r="U4" s="10">
        <f t="shared" si="10"/>
        <v>2.5</v>
      </c>
    </row>
    <row r="5" spans="1:21" ht="15.6">
      <c r="A5" s="3">
        <v>4</v>
      </c>
      <c r="B5" s="3" t="s">
        <v>11</v>
      </c>
      <c r="C5" s="3">
        <v>20</v>
      </c>
      <c r="D5" s="3" t="s">
        <v>89</v>
      </c>
      <c r="E5" s="6">
        <v>9716841986</v>
      </c>
      <c r="F5" s="10">
        <v>50340</v>
      </c>
      <c r="G5" s="10" t="str">
        <f t="shared" si="0"/>
        <v>Taxable</v>
      </c>
      <c r="H5" s="10">
        <f t="shared" si="1"/>
        <v>49840</v>
      </c>
      <c r="I5" s="10">
        <f t="shared" si="2"/>
        <v>500</v>
      </c>
      <c r="J5" s="10">
        <f t="shared" si="3"/>
        <v>49840</v>
      </c>
      <c r="K5" s="10" t="str">
        <f t="shared" si="4"/>
        <v>Other Team</v>
      </c>
      <c r="L5" s="10" t="s">
        <v>90</v>
      </c>
      <c r="M5" s="10" t="str">
        <f t="shared" si="5"/>
        <v>Abroad</v>
      </c>
      <c r="N5" s="10" t="str">
        <f t="shared" si="6"/>
        <v>International</v>
      </c>
      <c r="P5" s="10">
        <v>7</v>
      </c>
      <c r="Q5" s="10">
        <v>2</v>
      </c>
      <c r="R5" s="10">
        <f t="shared" si="7"/>
        <v>3.5</v>
      </c>
      <c r="S5" s="10">
        <f t="shared" si="8"/>
        <v>3.5</v>
      </c>
      <c r="T5" s="10" t="b">
        <f t="shared" si="9"/>
        <v>0</v>
      </c>
      <c r="U5" s="10">
        <f t="shared" si="10"/>
        <v>3.5</v>
      </c>
    </row>
    <row r="6" spans="1:21" ht="15.6">
      <c r="A6" s="3">
        <v>5</v>
      </c>
      <c r="B6" s="3" t="s">
        <v>13</v>
      </c>
      <c r="C6" s="3">
        <v>23</v>
      </c>
      <c r="D6" s="3" t="s">
        <v>83</v>
      </c>
      <c r="E6" s="6">
        <v>9203283465</v>
      </c>
      <c r="F6" s="10">
        <v>79914</v>
      </c>
      <c r="G6" s="10" t="str">
        <f t="shared" si="0"/>
        <v>Taxable</v>
      </c>
      <c r="H6" s="10">
        <f t="shared" si="1"/>
        <v>78914</v>
      </c>
      <c r="I6" s="10">
        <f t="shared" si="2"/>
        <v>1000</v>
      </c>
      <c r="J6" s="10">
        <f t="shared" si="3"/>
        <v>78914</v>
      </c>
      <c r="K6" s="10" t="str">
        <f t="shared" si="4"/>
        <v>Sales Team</v>
      </c>
      <c r="L6" s="10" t="s">
        <v>84</v>
      </c>
      <c r="M6" s="10" t="str">
        <f t="shared" si="5"/>
        <v>Abroad</v>
      </c>
      <c r="N6" s="10" t="str">
        <f t="shared" si="6"/>
        <v>International</v>
      </c>
      <c r="P6" s="10">
        <v>9</v>
      </c>
      <c r="Q6" s="10">
        <v>0</v>
      </c>
      <c r="R6" s="10" t="e">
        <f t="shared" si="7"/>
        <v>#DIV/0!</v>
      </c>
      <c r="S6" s="10" t="str">
        <f t="shared" si="8"/>
        <v>Error</v>
      </c>
      <c r="T6" s="10" t="b">
        <f t="shared" si="9"/>
        <v>1</v>
      </c>
      <c r="U6" s="10" t="str">
        <f t="shared" si="10"/>
        <v>Invalid</v>
      </c>
    </row>
    <row r="7" spans="1:21" ht="15.6">
      <c r="A7" s="3">
        <v>6</v>
      </c>
      <c r="B7" s="3" t="s">
        <v>14</v>
      </c>
      <c r="C7" s="3">
        <v>19</v>
      </c>
      <c r="D7" s="3" t="s">
        <v>85</v>
      </c>
      <c r="E7" s="6">
        <v>9919663645</v>
      </c>
      <c r="F7" s="10">
        <v>67436</v>
      </c>
      <c r="G7" s="10" t="str">
        <f t="shared" si="0"/>
        <v>Taxable</v>
      </c>
      <c r="H7" s="10">
        <f t="shared" si="1"/>
        <v>66436</v>
      </c>
      <c r="I7" s="10">
        <f t="shared" si="2"/>
        <v>1000</v>
      </c>
      <c r="J7" s="10">
        <f t="shared" si="3"/>
        <v>66436</v>
      </c>
      <c r="K7" s="10" t="str">
        <f t="shared" si="4"/>
        <v>Other Team</v>
      </c>
      <c r="L7" s="10" t="s">
        <v>86</v>
      </c>
      <c r="M7" s="10" t="str">
        <f t="shared" si="5"/>
        <v>India</v>
      </c>
      <c r="N7" s="10" t="str">
        <f t="shared" si="6"/>
        <v>Domestic</v>
      </c>
      <c r="P7" s="10">
        <v>11</v>
      </c>
      <c r="Q7" s="10">
        <v>2</v>
      </c>
      <c r="R7" s="10">
        <f t="shared" si="7"/>
        <v>5.5</v>
      </c>
      <c r="S7" s="10">
        <f t="shared" si="8"/>
        <v>5.5</v>
      </c>
      <c r="T7" s="10" t="b">
        <f t="shared" si="9"/>
        <v>0</v>
      </c>
      <c r="U7" s="10">
        <f t="shared" si="10"/>
        <v>5.5</v>
      </c>
    </row>
    <row r="8" spans="1:21" ht="15.6">
      <c r="A8" s="3">
        <v>7</v>
      </c>
      <c r="B8" s="3" t="s">
        <v>15</v>
      </c>
      <c r="C8" s="3">
        <v>18</v>
      </c>
      <c r="D8" s="3" t="s">
        <v>87</v>
      </c>
      <c r="E8" s="6">
        <v>9536742342</v>
      </c>
      <c r="F8" s="10">
        <v>33772</v>
      </c>
      <c r="G8" s="10" t="str">
        <f t="shared" si="0"/>
        <v>No Tax</v>
      </c>
      <c r="H8" s="10">
        <f t="shared" si="1"/>
        <v>33572</v>
      </c>
      <c r="I8" s="10">
        <f t="shared" si="2"/>
        <v>200</v>
      </c>
      <c r="J8" s="10">
        <f t="shared" si="3"/>
        <v>33572</v>
      </c>
      <c r="K8" s="10" t="str">
        <f t="shared" si="4"/>
        <v>Other Team</v>
      </c>
      <c r="L8" s="10" t="s">
        <v>88</v>
      </c>
      <c r="M8" s="10" t="str">
        <f t="shared" si="5"/>
        <v>India</v>
      </c>
      <c r="N8" s="10" t="str">
        <f t="shared" si="6"/>
        <v>Domestic</v>
      </c>
      <c r="P8" s="10">
        <v>13</v>
      </c>
      <c r="Q8" s="10">
        <v>2</v>
      </c>
      <c r="R8" s="10">
        <f t="shared" si="7"/>
        <v>6.5</v>
      </c>
      <c r="S8" s="10">
        <f t="shared" si="8"/>
        <v>6.5</v>
      </c>
      <c r="T8" s="10" t="b">
        <f t="shared" si="9"/>
        <v>0</v>
      </c>
      <c r="U8" s="10">
        <f t="shared" si="10"/>
        <v>6.5</v>
      </c>
    </row>
    <row r="9" spans="1:21" ht="15.6">
      <c r="A9" s="3">
        <v>8</v>
      </c>
      <c r="B9" s="3" t="s">
        <v>16</v>
      </c>
      <c r="C9" s="3">
        <v>20</v>
      </c>
      <c r="D9" s="3" t="s">
        <v>89</v>
      </c>
      <c r="E9" s="6">
        <v>9890086373</v>
      </c>
      <c r="F9" s="10">
        <v>38489</v>
      </c>
      <c r="G9" s="10" t="str">
        <f t="shared" si="0"/>
        <v>No Tax</v>
      </c>
      <c r="H9" s="10">
        <f t="shared" si="1"/>
        <v>38289</v>
      </c>
      <c r="I9" s="10">
        <f t="shared" si="2"/>
        <v>200</v>
      </c>
      <c r="J9" s="10">
        <f t="shared" si="3"/>
        <v>38289</v>
      </c>
      <c r="K9" s="10" t="str">
        <f t="shared" si="4"/>
        <v>Other Team</v>
      </c>
      <c r="L9" s="10" t="s">
        <v>90</v>
      </c>
      <c r="M9" s="10" t="str">
        <f t="shared" si="5"/>
        <v>Abroad</v>
      </c>
      <c r="N9" s="10" t="str">
        <f t="shared" si="6"/>
        <v>International</v>
      </c>
      <c r="P9" s="10">
        <v>15</v>
      </c>
      <c r="Q9" s="10">
        <v>0</v>
      </c>
      <c r="R9" s="10" t="e">
        <f t="shared" si="7"/>
        <v>#DIV/0!</v>
      </c>
      <c r="S9" s="10" t="str">
        <f t="shared" si="8"/>
        <v>Error</v>
      </c>
      <c r="T9" s="10" t="b">
        <f t="shared" si="9"/>
        <v>1</v>
      </c>
      <c r="U9" s="10" t="str">
        <f t="shared" si="10"/>
        <v>Invalid</v>
      </c>
    </row>
    <row r="10" spans="1:21" ht="15.6">
      <c r="A10" s="3">
        <v>9</v>
      </c>
      <c r="B10" s="3" t="s">
        <v>17</v>
      </c>
      <c r="C10" s="3">
        <v>18</v>
      </c>
      <c r="D10" s="3" t="s">
        <v>83</v>
      </c>
      <c r="E10" s="6">
        <v>9387856952</v>
      </c>
      <c r="F10" s="10">
        <v>46205</v>
      </c>
      <c r="G10" s="10" t="str">
        <f t="shared" si="0"/>
        <v>Taxable</v>
      </c>
      <c r="H10" s="10">
        <f t="shared" si="1"/>
        <v>45705</v>
      </c>
      <c r="I10" s="10">
        <f t="shared" si="2"/>
        <v>500</v>
      </c>
      <c r="J10" s="10">
        <f t="shared" si="3"/>
        <v>45705</v>
      </c>
      <c r="K10" s="10" t="str">
        <f t="shared" si="4"/>
        <v>Other Team</v>
      </c>
      <c r="L10" s="10" t="s">
        <v>84</v>
      </c>
      <c r="M10" s="10" t="str">
        <f t="shared" si="5"/>
        <v>India</v>
      </c>
      <c r="N10" s="10" t="str">
        <f t="shared" si="6"/>
        <v>Domestic</v>
      </c>
      <c r="P10" s="10">
        <v>17</v>
      </c>
      <c r="Q10" s="10">
        <v>2</v>
      </c>
      <c r="R10" s="10">
        <f t="shared" si="7"/>
        <v>8.5</v>
      </c>
      <c r="S10" s="10">
        <f t="shared" si="8"/>
        <v>8.5</v>
      </c>
      <c r="T10" s="10" t="b">
        <f t="shared" si="9"/>
        <v>0</v>
      </c>
      <c r="U10" s="10">
        <f t="shared" si="10"/>
        <v>8.5</v>
      </c>
    </row>
    <row r="11" spans="1:21" ht="15.6">
      <c r="A11" s="3">
        <v>10</v>
      </c>
      <c r="B11" s="3" t="s">
        <v>18</v>
      </c>
      <c r="C11" s="3">
        <v>25</v>
      </c>
      <c r="D11" s="3" t="s">
        <v>85</v>
      </c>
      <c r="E11" s="6">
        <v>9657033277</v>
      </c>
      <c r="F11" s="10">
        <v>47068</v>
      </c>
      <c r="G11" s="10" t="str">
        <f t="shared" si="0"/>
        <v>Taxable</v>
      </c>
      <c r="H11" s="10">
        <f t="shared" si="1"/>
        <v>46568</v>
      </c>
      <c r="I11" s="10">
        <f t="shared" si="2"/>
        <v>500</v>
      </c>
      <c r="J11" s="10">
        <f t="shared" si="3"/>
        <v>46568</v>
      </c>
      <c r="K11" s="10" t="str">
        <f t="shared" si="4"/>
        <v>Other Team</v>
      </c>
      <c r="L11" s="10" t="s">
        <v>86</v>
      </c>
      <c r="M11" s="10" t="str">
        <f t="shared" si="5"/>
        <v>India</v>
      </c>
      <c r="N11" s="10" t="str">
        <f t="shared" si="6"/>
        <v>Domestic</v>
      </c>
      <c r="P11" s="10">
        <v>19</v>
      </c>
      <c r="Q11" s="10">
        <v>2</v>
      </c>
      <c r="R11" s="10">
        <f t="shared" si="7"/>
        <v>9.5</v>
      </c>
      <c r="S11" s="10">
        <f t="shared" si="8"/>
        <v>9.5</v>
      </c>
      <c r="T11" s="10" t="b">
        <f t="shared" si="9"/>
        <v>0</v>
      </c>
      <c r="U11" s="10">
        <f t="shared" si="10"/>
        <v>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7"/>
  <sheetViews>
    <sheetView zoomScale="130" zoomScaleNormal="130" workbookViewId="0">
      <selection sqref="A1:G11"/>
    </sheetView>
  </sheetViews>
  <sheetFormatPr defaultColWidth="8.88671875" defaultRowHeight="15.6"/>
  <cols>
    <col min="1" max="3" width="8.88671875" style="7"/>
    <col min="4" max="4" width="14.6640625" style="7" customWidth="1"/>
    <col min="5" max="5" width="13.109375" style="7" customWidth="1"/>
    <col min="6" max="8" width="8.88671875" style="7"/>
    <col min="9" max="9" width="12.21875" style="7" customWidth="1"/>
    <col min="10" max="13" width="8.88671875" style="7"/>
    <col min="14" max="14" width="13.44140625" style="7" customWidth="1"/>
    <col min="15" max="15" width="13" style="7" customWidth="1"/>
    <col min="16" max="16384" width="8.88671875" style="7"/>
  </cols>
  <sheetData>
    <row r="1" spans="1:17">
      <c r="A1" s="1" t="s">
        <v>0</v>
      </c>
      <c r="B1" s="1" t="s">
        <v>1</v>
      </c>
      <c r="C1" s="1" t="s">
        <v>2</v>
      </c>
      <c r="D1" s="1" t="s">
        <v>67</v>
      </c>
      <c r="E1" s="1" t="s">
        <v>4</v>
      </c>
      <c r="F1" s="2" t="s">
        <v>68</v>
      </c>
      <c r="G1" s="2" t="s">
        <v>69</v>
      </c>
      <c r="I1" s="7" t="s">
        <v>67</v>
      </c>
      <c r="K1" s="1" t="s">
        <v>0</v>
      </c>
      <c r="L1" s="1" t="s">
        <v>1</v>
      </c>
      <c r="M1" s="1" t="s">
        <v>2</v>
      </c>
      <c r="N1" s="1" t="s">
        <v>67</v>
      </c>
      <c r="O1" s="1" t="s">
        <v>4</v>
      </c>
      <c r="P1" s="2" t="s">
        <v>68</v>
      </c>
      <c r="Q1" s="2" t="s">
        <v>69</v>
      </c>
    </row>
    <row r="2" spans="1:17">
      <c r="A2" s="3">
        <v>10</v>
      </c>
      <c r="B2" s="3" t="s">
        <v>18</v>
      </c>
      <c r="C2" s="3">
        <v>25</v>
      </c>
      <c r="D2" s="3" t="s">
        <v>85</v>
      </c>
      <c r="E2" s="4">
        <v>9657033277</v>
      </c>
      <c r="F2" s="5">
        <v>47068</v>
      </c>
      <c r="G2" s="5" t="str">
        <f t="shared" ref="G2:G11" si="0">IF(F2&gt;45000,"Taxable","No Tax")</f>
        <v>Taxable</v>
      </c>
      <c r="I2" s="7" t="s">
        <v>87</v>
      </c>
      <c r="K2" s="7" cm="1">
        <f t="array" ref="K2:Q3">_xlfn._xlws.FILTER(A2:G11,D2:D11=I2)</f>
        <v>7</v>
      </c>
      <c r="L2" s="7" t="str">
        <v>Param</v>
      </c>
      <c r="M2" s="7">
        <v>18</v>
      </c>
      <c r="N2" s="7" t="str">
        <v>Development</v>
      </c>
      <c r="O2" s="7">
        <v>9536742342</v>
      </c>
      <c r="P2" s="7">
        <v>33772</v>
      </c>
      <c r="Q2" s="7" t="str">
        <v>No Tax</v>
      </c>
    </row>
    <row r="3" spans="1:17">
      <c r="A3" s="3">
        <v>9</v>
      </c>
      <c r="B3" s="3" t="s">
        <v>17</v>
      </c>
      <c r="C3" s="3">
        <v>18</v>
      </c>
      <c r="D3" s="3" t="s">
        <v>83</v>
      </c>
      <c r="E3" s="6">
        <v>9387856952</v>
      </c>
      <c r="F3" s="5">
        <v>46205</v>
      </c>
      <c r="G3" s="5" t="str">
        <f t="shared" si="0"/>
        <v>Taxable</v>
      </c>
      <c r="K3" s="7">
        <v>3</v>
      </c>
      <c r="L3" s="7" t="str">
        <v>Lopender</v>
      </c>
      <c r="M3" s="7">
        <v>23</v>
      </c>
      <c r="N3" s="7" t="str">
        <v>Development</v>
      </c>
      <c r="O3" s="7">
        <v>9851648330</v>
      </c>
      <c r="P3" s="7">
        <v>42432</v>
      </c>
      <c r="Q3" s="7" t="str">
        <v>No Tax</v>
      </c>
    </row>
    <row r="4" spans="1:17">
      <c r="A4" s="3">
        <v>8</v>
      </c>
      <c r="B4" s="3" t="s">
        <v>16</v>
      </c>
      <c r="C4" s="3">
        <v>20</v>
      </c>
      <c r="D4" s="3" t="s">
        <v>89</v>
      </c>
      <c r="E4" s="6">
        <v>9890086373</v>
      </c>
      <c r="F4" s="5">
        <v>38489</v>
      </c>
      <c r="G4" s="5" t="str">
        <f t="shared" si="0"/>
        <v>No Tax</v>
      </c>
    </row>
    <row r="5" spans="1:17">
      <c r="A5" s="3">
        <v>7</v>
      </c>
      <c r="B5" s="3" t="s">
        <v>15</v>
      </c>
      <c r="C5" s="3">
        <v>18</v>
      </c>
      <c r="D5" s="3" t="s">
        <v>87</v>
      </c>
      <c r="E5" s="6">
        <v>9536742342</v>
      </c>
      <c r="F5" s="5">
        <v>33772</v>
      </c>
      <c r="G5" s="5" t="str">
        <f t="shared" si="0"/>
        <v>No Tax</v>
      </c>
      <c r="K5" s="7" t="e">
        <f>_xleta.if</f>
        <v>#NAME?</v>
      </c>
    </row>
    <row r="6" spans="1:17">
      <c r="A6" s="3">
        <v>6</v>
      </c>
      <c r="B6" s="3" t="s">
        <v>14</v>
      </c>
      <c r="C6" s="3">
        <v>19</v>
      </c>
      <c r="D6" s="3" t="s">
        <v>85</v>
      </c>
      <c r="E6" s="6">
        <v>9919663645</v>
      </c>
      <c r="F6" s="5">
        <v>67436</v>
      </c>
      <c r="G6" s="5" t="str">
        <f t="shared" si="0"/>
        <v>Taxable</v>
      </c>
    </row>
    <row r="7" spans="1:17">
      <c r="A7" s="3">
        <v>5</v>
      </c>
      <c r="B7" s="3" t="s">
        <v>13</v>
      </c>
      <c r="C7" s="3">
        <v>23</v>
      </c>
      <c r="D7" s="3" t="s">
        <v>83</v>
      </c>
      <c r="E7" s="6">
        <v>9203283465</v>
      </c>
      <c r="F7" s="5">
        <v>79914</v>
      </c>
      <c r="G7" s="5" t="str">
        <f t="shared" si="0"/>
        <v>Taxable</v>
      </c>
    </row>
    <row r="8" spans="1:17">
      <c r="A8" s="3">
        <v>4</v>
      </c>
      <c r="B8" s="3" t="s">
        <v>11</v>
      </c>
      <c r="C8" s="3">
        <v>20</v>
      </c>
      <c r="D8" s="3" t="s">
        <v>89</v>
      </c>
      <c r="E8" s="6">
        <v>9716841986</v>
      </c>
      <c r="F8" s="5">
        <v>50340</v>
      </c>
      <c r="G8" s="5" t="str">
        <f t="shared" si="0"/>
        <v>Taxable</v>
      </c>
    </row>
    <row r="9" spans="1:17">
      <c r="A9" s="3">
        <v>3</v>
      </c>
      <c r="B9" s="3" t="s">
        <v>9</v>
      </c>
      <c r="C9" s="3">
        <v>23</v>
      </c>
      <c r="D9" s="3" t="s">
        <v>87</v>
      </c>
      <c r="E9" s="6">
        <v>9851648330</v>
      </c>
      <c r="F9" s="5">
        <v>42432</v>
      </c>
      <c r="G9" s="5" t="str">
        <f t="shared" si="0"/>
        <v>No Tax</v>
      </c>
    </row>
    <row r="10" spans="1:17">
      <c r="A10" s="3">
        <v>2</v>
      </c>
      <c r="B10" s="3" t="s">
        <v>7</v>
      </c>
      <c r="C10" s="3">
        <v>21</v>
      </c>
      <c r="D10" s="3" t="s">
        <v>85</v>
      </c>
      <c r="E10" s="6">
        <v>9150845378</v>
      </c>
      <c r="F10" s="5">
        <v>79607</v>
      </c>
      <c r="G10" s="5" t="str">
        <f t="shared" si="0"/>
        <v>Taxable</v>
      </c>
    </row>
    <row r="11" spans="1:17">
      <c r="A11" s="3">
        <v>1</v>
      </c>
      <c r="B11" s="3" t="s">
        <v>5</v>
      </c>
      <c r="C11" s="3">
        <v>23</v>
      </c>
      <c r="D11" s="3" t="s">
        <v>83</v>
      </c>
      <c r="E11" s="6">
        <v>9610420120</v>
      </c>
      <c r="F11" s="5">
        <v>83585</v>
      </c>
      <c r="G11" s="5" t="str">
        <f t="shared" si="0"/>
        <v>Taxable</v>
      </c>
    </row>
    <row r="17" spans="7:7">
      <c r="G17"/>
    </row>
  </sheetData>
  <autoFilter ref="A1:G11" xr:uid="{00000000-0009-0000-0000-000004000000}"/>
  <dataValidations count="1">
    <dataValidation type="list" allowBlank="1" showInputMessage="1" showErrorMessage="1" sqref="I2" xr:uid="{00000000-0002-0000-0400-000000000000}">
      <formula1>$D:$D</formula1>
    </dataValidation>
  </dataValidation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tabSelected="1" zoomScale="160" zoomScaleNormal="160" workbookViewId="0">
      <selection activeCell="K2" sqref="K2"/>
    </sheetView>
  </sheetViews>
  <sheetFormatPr defaultColWidth="8.88671875" defaultRowHeight="14.4"/>
  <cols>
    <col min="1" max="1" width="8" bestFit="1" customWidth="1"/>
    <col min="2" max="2" width="9.77734375" bestFit="1" customWidth="1"/>
    <col min="3" max="3" width="4.44140625" bestFit="1" customWidth="1"/>
    <col min="4" max="4" width="13.5546875" bestFit="1" customWidth="1"/>
    <col min="5" max="5" width="12.109375" bestFit="1" customWidth="1"/>
    <col min="6" max="6" width="6.5546875" bestFit="1" customWidth="1"/>
    <col min="7" max="7" width="8.21875" bestFit="1" customWidth="1"/>
    <col min="8" max="8" width="10.33203125" bestFit="1" customWidth="1"/>
    <col min="10" max="10" width="12.33203125" bestFit="1" customWidth="1"/>
    <col min="11" max="11" width="11.21875" bestFit="1" customWidth="1"/>
  </cols>
  <sheetData>
    <row r="1" spans="1:14" ht="15.6">
      <c r="A1" s="1" t="s">
        <v>91</v>
      </c>
      <c r="B1" s="1" t="s">
        <v>1</v>
      </c>
      <c r="C1" s="1" t="s">
        <v>2</v>
      </c>
      <c r="D1" s="1" t="s">
        <v>67</v>
      </c>
      <c r="E1" s="1" t="s">
        <v>4</v>
      </c>
      <c r="F1" s="2" t="s">
        <v>68</v>
      </c>
      <c r="G1" s="2" t="s">
        <v>69</v>
      </c>
      <c r="H1" s="28" t="s">
        <v>153</v>
      </c>
      <c r="M1" s="27"/>
    </row>
    <row r="2" spans="1:14" ht="15.6">
      <c r="A2" s="3" t="s">
        <v>92</v>
      </c>
      <c r="B2" s="3" t="s">
        <v>5</v>
      </c>
      <c r="C2" s="3">
        <v>23</v>
      </c>
      <c r="D2" s="3" t="s">
        <v>83</v>
      </c>
      <c r="E2" s="4">
        <v>9610420120</v>
      </c>
      <c r="F2" s="5">
        <v>80000</v>
      </c>
      <c r="G2" s="5" t="str">
        <f>IF(F2&gt;45000,"Taxable","No Tax")</f>
        <v>Taxable</v>
      </c>
      <c r="H2" s="29" t="str">
        <f>VLOOKUP(F2,emp_2, 2,1)</f>
        <v>Scale 4</v>
      </c>
      <c r="J2" s="1" t="s">
        <v>91</v>
      </c>
      <c r="K2" s="24" t="s">
        <v>95</v>
      </c>
      <c r="L2" s="27"/>
      <c r="M2" s="27"/>
    </row>
    <row r="3" spans="1:14" ht="15.6">
      <c r="A3" s="3" t="s">
        <v>93</v>
      </c>
      <c r="B3" s="3" t="s">
        <v>7</v>
      </c>
      <c r="C3" s="3">
        <v>21</v>
      </c>
      <c r="D3" s="3" t="s">
        <v>85</v>
      </c>
      <c r="E3" s="6">
        <v>9150845378</v>
      </c>
      <c r="F3" s="5">
        <v>79607</v>
      </c>
      <c r="G3" s="5" t="str">
        <f>IF(F3&gt;45000,"Taxable","No Tax")</f>
        <v>Taxable</v>
      </c>
      <c r="H3" s="29" t="str">
        <f>VLOOKUP(F3,emp_2, 2,1)</f>
        <v>Scale 3</v>
      </c>
      <c r="J3" s="1" t="s">
        <v>1</v>
      </c>
      <c r="K3" s="24" t="str">
        <f>VLOOKUP($K$2,$A$1:$G$11,ROW()-1,0)</f>
        <v>Harsh</v>
      </c>
      <c r="L3" s="27"/>
      <c r="M3" s="27"/>
    </row>
    <row r="4" spans="1:14" ht="15.6">
      <c r="A4" s="3" t="s">
        <v>94</v>
      </c>
      <c r="B4" s="3" t="s">
        <v>9</v>
      </c>
      <c r="C4" s="3">
        <v>23</v>
      </c>
      <c r="D4" s="3" t="s">
        <v>87</v>
      </c>
      <c r="E4" s="6">
        <v>9851648330</v>
      </c>
      <c r="F4" s="5">
        <v>42432</v>
      </c>
      <c r="G4" s="5" t="str">
        <f>IF(F4&gt;45000,"Taxable","No Tax")</f>
        <v>No Tax</v>
      </c>
      <c r="H4" s="29" t="str">
        <f>VLOOKUP(F4,emp_2, 2,1)</f>
        <v>Scale 2</v>
      </c>
      <c r="J4" s="1" t="s">
        <v>2</v>
      </c>
      <c r="K4" s="30">
        <f>VLOOKUP($K$2,$A$1:$G$11,ROW()-1,0)</f>
        <v>20</v>
      </c>
      <c r="M4" s="25" t="s">
        <v>152</v>
      </c>
      <c r="N4" s="25" t="s">
        <v>147</v>
      </c>
    </row>
    <row r="5" spans="1:14" ht="15.6">
      <c r="A5" s="3" t="s">
        <v>95</v>
      </c>
      <c r="B5" s="3" t="s">
        <v>11</v>
      </c>
      <c r="C5" s="3">
        <v>20</v>
      </c>
      <c r="D5" s="3" t="s">
        <v>89</v>
      </c>
      <c r="E5" s="6">
        <v>9716841986</v>
      </c>
      <c r="F5" s="5">
        <v>50340</v>
      </c>
      <c r="G5" s="5" t="str">
        <f>IF(F5&gt;45000,"Taxable","No Tax")</f>
        <v>Taxable</v>
      </c>
      <c r="H5" s="29" t="str">
        <f>VLOOKUP(F5,emp_2, 2,1)</f>
        <v>Scale 2</v>
      </c>
      <c r="J5" s="1" t="s">
        <v>67</v>
      </c>
      <c r="K5" s="30" t="str">
        <f>VLOOKUP($K$2,$A$1:$G$11,ROW()-1,0)</f>
        <v>HR</v>
      </c>
      <c r="M5" s="25">
        <v>20000</v>
      </c>
      <c r="N5" s="25" t="s">
        <v>148</v>
      </c>
    </row>
    <row r="6" spans="1:14" ht="15.6">
      <c r="A6" s="3" t="s">
        <v>96</v>
      </c>
      <c r="B6" s="3" t="s">
        <v>13</v>
      </c>
      <c r="C6" s="3">
        <v>23</v>
      </c>
      <c r="D6" s="3" t="s">
        <v>83</v>
      </c>
      <c r="E6" s="6">
        <v>9203283465</v>
      </c>
      <c r="F6" s="5">
        <v>79914</v>
      </c>
      <c r="G6" s="5" t="str">
        <f>IF(F6&gt;45000,"Taxable","No Tax")</f>
        <v>Taxable</v>
      </c>
      <c r="H6" s="29" t="str">
        <f>VLOOKUP(F6,emp_2, 2,1)</f>
        <v>Scale 3</v>
      </c>
      <c r="J6" s="1" t="s">
        <v>4</v>
      </c>
      <c r="K6" s="30">
        <f>VLOOKUP($K$2,$A$1:$G$11,ROW()-1,0)</f>
        <v>9716841986</v>
      </c>
      <c r="M6" s="25">
        <v>40000</v>
      </c>
      <c r="N6" s="25" t="s">
        <v>149</v>
      </c>
    </row>
    <row r="7" spans="1:14" ht="15.6">
      <c r="A7" s="3" t="s">
        <v>97</v>
      </c>
      <c r="B7" s="3" t="s">
        <v>14</v>
      </c>
      <c r="C7" s="3">
        <v>19</v>
      </c>
      <c r="D7" s="3" t="s">
        <v>85</v>
      </c>
      <c r="E7" s="6">
        <v>9919663645</v>
      </c>
      <c r="F7" s="5">
        <v>67436</v>
      </c>
      <c r="G7" s="5" t="str">
        <f>IF(F7&gt;45000,"Taxable","No Tax")</f>
        <v>Taxable</v>
      </c>
      <c r="H7" s="29" t="str">
        <f>VLOOKUP(F7,emp_2, 2,1)</f>
        <v>Scale 3</v>
      </c>
      <c r="J7" s="2" t="s">
        <v>68</v>
      </c>
      <c r="K7" s="30">
        <f>VLOOKUP($K$2,$A$1:$G$11,ROW()-1,0)</f>
        <v>50340</v>
      </c>
      <c r="M7" s="25">
        <v>60000</v>
      </c>
      <c r="N7" s="25" t="s">
        <v>150</v>
      </c>
    </row>
    <row r="8" spans="1:14" ht="15.6">
      <c r="A8" s="3" t="s">
        <v>98</v>
      </c>
      <c r="B8" s="3" t="s">
        <v>15</v>
      </c>
      <c r="C8" s="3">
        <v>18</v>
      </c>
      <c r="D8" s="3" t="s">
        <v>87</v>
      </c>
      <c r="E8" s="6">
        <v>9536742342</v>
      </c>
      <c r="F8" s="5">
        <v>33772</v>
      </c>
      <c r="G8" s="5" t="str">
        <f>IF(F8&gt;45000,"Taxable","No Tax")</f>
        <v>No Tax</v>
      </c>
      <c r="H8" s="29" t="str">
        <f>VLOOKUP(F8,emp_2, 2,1)</f>
        <v>Scale 1</v>
      </c>
      <c r="J8" s="2" t="s">
        <v>69</v>
      </c>
      <c r="K8" s="30" t="str">
        <f>VLOOKUP($K$2,$A$1:$G$11,ROW()-1,0)</f>
        <v>Taxable</v>
      </c>
      <c r="M8" s="25">
        <v>80000</v>
      </c>
      <c r="N8" s="25" t="s">
        <v>151</v>
      </c>
    </row>
    <row r="9" spans="1:14" ht="15.6">
      <c r="A9" s="3" t="s">
        <v>99</v>
      </c>
      <c r="B9" s="3" t="s">
        <v>16</v>
      </c>
      <c r="C9" s="3">
        <v>20</v>
      </c>
      <c r="D9" s="3" t="s">
        <v>89</v>
      </c>
      <c r="E9" s="6">
        <v>9890086373</v>
      </c>
      <c r="F9" s="5">
        <v>38489</v>
      </c>
      <c r="G9" s="5" t="str">
        <f>IF(F9&gt;45000,"Taxable","No Tax")</f>
        <v>No Tax</v>
      </c>
      <c r="H9" s="29" t="str">
        <f>VLOOKUP(F9,emp_2, 2,1)</f>
        <v>Scale 1</v>
      </c>
    </row>
    <row r="10" spans="1:14" ht="15.6">
      <c r="A10" s="3" t="s">
        <v>100</v>
      </c>
      <c r="B10" s="3" t="s">
        <v>17</v>
      </c>
      <c r="C10" s="3">
        <v>18</v>
      </c>
      <c r="D10" s="3" t="s">
        <v>83</v>
      </c>
      <c r="E10" s="6">
        <v>9387856952</v>
      </c>
      <c r="F10" s="5">
        <v>46205</v>
      </c>
      <c r="G10" s="5" t="str">
        <f>IF(F10&gt;45000,"Taxable","No Tax")</f>
        <v>Taxable</v>
      </c>
      <c r="H10" s="29" t="str">
        <f>VLOOKUP(F10,emp_2, 2,1)</f>
        <v>Scale 2</v>
      </c>
    </row>
    <row r="11" spans="1:14" ht="15.6">
      <c r="A11" s="3" t="s">
        <v>101</v>
      </c>
      <c r="B11" s="3" t="s">
        <v>18</v>
      </c>
      <c r="C11" s="3">
        <v>25</v>
      </c>
      <c r="D11" s="3" t="s">
        <v>85</v>
      </c>
      <c r="E11" s="6">
        <v>9657033277</v>
      </c>
      <c r="F11" s="5">
        <v>47068</v>
      </c>
      <c r="G11" s="5" t="str">
        <f>IF(F11&gt;45000,"Taxable","No Tax")</f>
        <v>Taxable</v>
      </c>
      <c r="H11" s="29" t="str">
        <f>VLOOKUP(F11,emp_2, 2,1)</f>
        <v>Scale 2</v>
      </c>
    </row>
  </sheetData>
  <dataValidations count="1">
    <dataValidation type="list" allowBlank="1" showInputMessage="1" showErrorMessage="1" sqref="K2" xr:uid="{7F48FA0E-8DD2-4B6D-9DCA-D92A38F8D85B}">
      <formula1>$A$2:$A$11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262E-8AC8-472D-B2D2-81DAF80928E1}">
  <dimension ref="A1:U301"/>
  <sheetViews>
    <sheetView workbookViewId="0">
      <selection activeCell="P5" sqref="P5"/>
    </sheetView>
  </sheetViews>
  <sheetFormatPr defaultRowHeight="14.4"/>
  <cols>
    <col min="5" max="5" width="15.109375" bestFit="1" customWidth="1"/>
    <col min="10" max="10" width="10.5546875" bestFit="1" customWidth="1"/>
    <col min="16" max="16" width="10.44140625" bestFit="1" customWidth="1"/>
    <col min="17" max="17" width="7.6640625" bestFit="1" customWidth="1"/>
    <col min="18" max="18" width="15.109375" bestFit="1" customWidth="1"/>
    <col min="19" max="19" width="9.88671875" bestFit="1" customWidth="1"/>
    <col min="21" max="21" width="8.88671875" style="27"/>
  </cols>
  <sheetData>
    <row r="1" spans="1:19">
      <c r="A1" s="25" t="s">
        <v>102</v>
      </c>
      <c r="B1" s="25" t="s">
        <v>103</v>
      </c>
      <c r="C1" s="25" t="s">
        <v>104</v>
      </c>
      <c r="D1" s="25" t="s">
        <v>105</v>
      </c>
      <c r="E1" s="25" t="s">
        <v>106</v>
      </c>
      <c r="F1" s="25" t="s">
        <v>107</v>
      </c>
      <c r="G1" s="25" t="s">
        <v>108</v>
      </c>
      <c r="H1" s="25" t="s">
        <v>83</v>
      </c>
      <c r="I1" s="25" t="s">
        <v>109</v>
      </c>
      <c r="J1" s="25" t="s">
        <v>110</v>
      </c>
      <c r="K1" s="25" t="s">
        <v>111</v>
      </c>
      <c r="L1" s="25" t="s">
        <v>112</v>
      </c>
    </row>
    <row r="2" spans="1:19">
      <c r="A2" s="25">
        <v>1001</v>
      </c>
      <c r="B2" s="25" t="s">
        <v>113</v>
      </c>
      <c r="C2" s="25" t="s">
        <v>114</v>
      </c>
      <c r="D2" s="25" t="s">
        <v>115</v>
      </c>
      <c r="E2" s="25" t="s">
        <v>116</v>
      </c>
      <c r="F2" s="25" t="s">
        <v>117</v>
      </c>
      <c r="G2" s="25">
        <v>1</v>
      </c>
      <c r="H2" s="25">
        <v>13875</v>
      </c>
      <c r="I2" s="25" t="s">
        <v>118</v>
      </c>
      <c r="J2" s="26">
        <v>44927</v>
      </c>
      <c r="K2" s="25">
        <v>13875</v>
      </c>
      <c r="L2" s="25">
        <v>2775</v>
      </c>
      <c r="O2" s="25" t="s">
        <v>105</v>
      </c>
      <c r="P2" s="25" t="s">
        <v>154</v>
      </c>
      <c r="Q2" s="25"/>
      <c r="R2" s="25"/>
      <c r="S2" s="25"/>
    </row>
    <row r="3" spans="1:19">
      <c r="A3" s="25">
        <v>1002</v>
      </c>
      <c r="B3" s="25" t="s">
        <v>119</v>
      </c>
      <c r="C3" s="25" t="s">
        <v>120</v>
      </c>
      <c r="D3" s="25" t="s">
        <v>121</v>
      </c>
      <c r="E3" s="25" t="s">
        <v>122</v>
      </c>
      <c r="F3" s="25" t="s">
        <v>123</v>
      </c>
      <c r="G3" s="25">
        <v>6</v>
      </c>
      <c r="H3" s="25">
        <v>2622</v>
      </c>
      <c r="I3" s="25" t="s">
        <v>124</v>
      </c>
      <c r="J3" s="26">
        <v>44928</v>
      </c>
      <c r="K3" s="25">
        <v>15732</v>
      </c>
      <c r="L3" s="25">
        <v>524.4</v>
      </c>
      <c r="O3" s="25" t="s">
        <v>115</v>
      </c>
      <c r="P3">
        <f>SUMIF(D:D,O3,K:K)</f>
        <v>10716184</v>
      </c>
    </row>
    <row r="4" spans="1:19">
      <c r="A4" s="25">
        <v>1003</v>
      </c>
      <c r="B4" s="25" t="s">
        <v>125</v>
      </c>
      <c r="C4" s="25" t="s">
        <v>126</v>
      </c>
      <c r="D4" s="25" t="s">
        <v>115</v>
      </c>
      <c r="E4" s="25" t="s">
        <v>127</v>
      </c>
      <c r="F4" s="25" t="s">
        <v>128</v>
      </c>
      <c r="G4" s="25">
        <v>5</v>
      </c>
      <c r="H4" s="25">
        <v>49756</v>
      </c>
      <c r="I4" s="25" t="s">
        <v>129</v>
      </c>
      <c r="J4" s="26">
        <v>44929</v>
      </c>
      <c r="K4" s="25">
        <v>248780</v>
      </c>
      <c r="L4" s="25">
        <v>9951.2000000000007</v>
      </c>
      <c r="O4" s="25" t="s">
        <v>121</v>
      </c>
      <c r="P4">
        <f t="shared" ref="P4:P6" si="0">SUMIF(D:D,O4,K:K)</f>
        <v>10868575</v>
      </c>
    </row>
    <row r="5" spans="1:19">
      <c r="A5" s="25">
        <v>1004</v>
      </c>
      <c r="B5" s="25" t="s">
        <v>130</v>
      </c>
      <c r="C5" s="25" t="s">
        <v>126</v>
      </c>
      <c r="D5" s="25" t="s">
        <v>115</v>
      </c>
      <c r="E5" s="25" t="s">
        <v>131</v>
      </c>
      <c r="F5" s="25" t="s">
        <v>132</v>
      </c>
      <c r="G5" s="25">
        <v>4</v>
      </c>
      <c r="H5" s="25">
        <v>41809</v>
      </c>
      <c r="I5" s="25" t="s">
        <v>129</v>
      </c>
      <c r="J5" s="26">
        <v>44930</v>
      </c>
      <c r="K5" s="25">
        <v>167236</v>
      </c>
      <c r="L5" s="25">
        <v>8361.7999999999993</v>
      </c>
      <c r="O5" s="25" t="s">
        <v>134</v>
      </c>
      <c r="P5">
        <f t="shared" si="0"/>
        <v>8149763</v>
      </c>
    </row>
    <row r="6" spans="1:19">
      <c r="A6" s="25">
        <v>1005</v>
      </c>
      <c r="B6" s="25" t="s">
        <v>113</v>
      </c>
      <c r="C6" s="25" t="s">
        <v>133</v>
      </c>
      <c r="D6" s="25" t="s">
        <v>134</v>
      </c>
      <c r="E6" s="25" t="s">
        <v>127</v>
      </c>
      <c r="F6" s="25" t="s">
        <v>128</v>
      </c>
      <c r="G6" s="25">
        <v>3</v>
      </c>
      <c r="H6" s="25">
        <v>17725</v>
      </c>
      <c r="I6" s="25" t="s">
        <v>118</v>
      </c>
      <c r="J6" s="26">
        <v>44931</v>
      </c>
      <c r="K6" s="25">
        <v>53175</v>
      </c>
      <c r="L6" s="25">
        <v>3545</v>
      </c>
      <c r="O6" s="25" t="s">
        <v>138</v>
      </c>
      <c r="P6">
        <f t="shared" si="0"/>
        <v>7492569</v>
      </c>
    </row>
    <row r="7" spans="1:19">
      <c r="A7" s="25">
        <v>1006</v>
      </c>
      <c r="B7" s="25" t="s">
        <v>135</v>
      </c>
      <c r="C7" s="25" t="s">
        <v>114</v>
      </c>
      <c r="D7" s="25" t="s">
        <v>115</v>
      </c>
      <c r="E7" s="25" t="s">
        <v>131</v>
      </c>
      <c r="F7" s="25" t="s">
        <v>117</v>
      </c>
      <c r="G7" s="25">
        <v>1</v>
      </c>
      <c r="H7" s="25">
        <v>41760</v>
      </c>
      <c r="I7" s="25" t="s">
        <v>129</v>
      </c>
      <c r="J7" s="26">
        <v>44932</v>
      </c>
      <c r="K7" s="25">
        <v>41760</v>
      </c>
      <c r="L7" s="25">
        <v>8352</v>
      </c>
    </row>
    <row r="8" spans="1:19">
      <c r="A8" s="25">
        <v>1007</v>
      </c>
      <c r="B8" s="25" t="s">
        <v>136</v>
      </c>
      <c r="C8" s="25" t="s">
        <v>137</v>
      </c>
      <c r="D8" s="25" t="s">
        <v>138</v>
      </c>
      <c r="E8" s="25" t="s">
        <v>116</v>
      </c>
      <c r="F8" s="25" t="s">
        <v>117</v>
      </c>
      <c r="G8" s="25">
        <v>6</v>
      </c>
      <c r="H8" s="25">
        <v>16646</v>
      </c>
      <c r="I8" s="25" t="s">
        <v>118</v>
      </c>
      <c r="J8" s="26">
        <v>44933</v>
      </c>
      <c r="K8" s="25">
        <v>99876</v>
      </c>
      <c r="L8" s="25">
        <v>3329.2</v>
      </c>
    </row>
    <row r="9" spans="1:19">
      <c r="A9" s="25">
        <v>1008</v>
      </c>
      <c r="B9" s="25" t="s">
        <v>113</v>
      </c>
      <c r="C9" s="25" t="s">
        <v>139</v>
      </c>
      <c r="D9" s="25" t="s">
        <v>138</v>
      </c>
      <c r="E9" s="25" t="s">
        <v>131</v>
      </c>
      <c r="F9" s="25" t="s">
        <v>117</v>
      </c>
      <c r="G9" s="25">
        <v>2</v>
      </c>
      <c r="H9" s="25">
        <v>18029</v>
      </c>
      <c r="I9" s="25" t="s">
        <v>118</v>
      </c>
      <c r="J9" s="26">
        <v>44934</v>
      </c>
      <c r="K9" s="25">
        <v>36058</v>
      </c>
      <c r="L9" s="25">
        <v>3605.8</v>
      </c>
    </row>
    <row r="10" spans="1:19">
      <c r="A10" s="25">
        <v>1009</v>
      </c>
      <c r="B10" s="25" t="s">
        <v>125</v>
      </c>
      <c r="C10" s="25" t="s">
        <v>126</v>
      </c>
      <c r="D10" s="25" t="s">
        <v>121</v>
      </c>
      <c r="E10" s="25" t="s">
        <v>116</v>
      </c>
      <c r="F10" s="25" t="s">
        <v>140</v>
      </c>
      <c r="G10" s="25">
        <v>8</v>
      </c>
      <c r="H10" s="25">
        <v>30402</v>
      </c>
      <c r="I10" s="25" t="s">
        <v>129</v>
      </c>
      <c r="J10" s="26">
        <v>44935</v>
      </c>
      <c r="K10" s="25">
        <v>243216</v>
      </c>
      <c r="L10" s="25">
        <v>6080.4</v>
      </c>
    </row>
    <row r="11" spans="1:19">
      <c r="A11" s="25">
        <v>1010</v>
      </c>
      <c r="B11" s="25" t="s">
        <v>130</v>
      </c>
      <c r="C11" s="25" t="s">
        <v>139</v>
      </c>
      <c r="D11" s="25" t="s">
        <v>115</v>
      </c>
      <c r="E11" s="25" t="s">
        <v>131</v>
      </c>
      <c r="F11" s="25" t="s">
        <v>140</v>
      </c>
      <c r="G11" s="25">
        <v>5</v>
      </c>
      <c r="H11" s="25">
        <v>5263</v>
      </c>
      <c r="I11" s="25" t="s">
        <v>124</v>
      </c>
      <c r="J11" s="26">
        <v>44936</v>
      </c>
      <c r="K11" s="25">
        <v>26315</v>
      </c>
      <c r="L11" s="25">
        <v>1052.5999999999999</v>
      </c>
    </row>
    <row r="12" spans="1:19">
      <c r="A12" s="25">
        <v>1011</v>
      </c>
      <c r="B12" s="25" t="s">
        <v>119</v>
      </c>
      <c r="C12" s="25" t="s">
        <v>137</v>
      </c>
      <c r="D12" s="25" t="s">
        <v>121</v>
      </c>
      <c r="E12" s="25" t="s">
        <v>116</v>
      </c>
      <c r="F12" s="25" t="s">
        <v>141</v>
      </c>
      <c r="G12" s="25">
        <v>7</v>
      </c>
      <c r="H12" s="25">
        <v>31987</v>
      </c>
      <c r="I12" s="25" t="s">
        <v>129</v>
      </c>
      <c r="J12" s="26">
        <v>44937</v>
      </c>
      <c r="K12" s="25">
        <v>223909</v>
      </c>
      <c r="L12" s="25">
        <v>6397.4</v>
      </c>
    </row>
    <row r="13" spans="1:19">
      <c r="A13" s="25">
        <v>1012</v>
      </c>
      <c r="B13" s="25" t="s">
        <v>125</v>
      </c>
      <c r="C13" s="25" t="s">
        <v>126</v>
      </c>
      <c r="D13" s="25" t="s">
        <v>138</v>
      </c>
      <c r="E13" s="25" t="s">
        <v>131</v>
      </c>
      <c r="F13" s="25" t="s">
        <v>141</v>
      </c>
      <c r="G13" s="25">
        <v>2</v>
      </c>
      <c r="H13" s="25">
        <v>47828</v>
      </c>
      <c r="I13" s="25" t="s">
        <v>129</v>
      </c>
      <c r="J13" s="26">
        <v>44938</v>
      </c>
      <c r="K13" s="25">
        <v>95656</v>
      </c>
      <c r="L13" s="25">
        <v>9565.6</v>
      </c>
    </row>
    <row r="14" spans="1:19">
      <c r="A14" s="25">
        <v>1013</v>
      </c>
      <c r="B14" s="25" t="s">
        <v>125</v>
      </c>
      <c r="C14" s="25" t="s">
        <v>137</v>
      </c>
      <c r="D14" s="25" t="s">
        <v>115</v>
      </c>
      <c r="E14" s="25" t="s">
        <v>122</v>
      </c>
      <c r="F14" s="25" t="s">
        <v>117</v>
      </c>
      <c r="G14" s="25">
        <v>8</v>
      </c>
      <c r="H14" s="25">
        <v>48924</v>
      </c>
      <c r="I14" s="25" t="s">
        <v>129</v>
      </c>
      <c r="J14" s="26">
        <v>44939</v>
      </c>
      <c r="K14" s="25">
        <v>391392</v>
      </c>
      <c r="L14" s="25">
        <v>9784.7999999999993</v>
      </c>
    </row>
    <row r="15" spans="1:19">
      <c r="A15" s="25">
        <v>1014</v>
      </c>
      <c r="B15" s="25" t="s">
        <v>136</v>
      </c>
      <c r="C15" s="25" t="s">
        <v>137</v>
      </c>
      <c r="D15" s="25" t="s">
        <v>115</v>
      </c>
      <c r="E15" s="25" t="s">
        <v>131</v>
      </c>
      <c r="F15" s="25" t="s">
        <v>123</v>
      </c>
      <c r="G15" s="25">
        <v>2</v>
      </c>
      <c r="H15" s="25">
        <v>9646</v>
      </c>
      <c r="I15" s="25" t="s">
        <v>124</v>
      </c>
      <c r="J15" s="26">
        <v>44940</v>
      </c>
      <c r="K15" s="25">
        <v>19292</v>
      </c>
      <c r="L15" s="25">
        <v>1929.2</v>
      </c>
    </row>
    <row r="16" spans="1:19">
      <c r="A16" s="25">
        <v>1015</v>
      </c>
      <c r="B16" s="25" t="s">
        <v>142</v>
      </c>
      <c r="C16" s="25" t="s">
        <v>133</v>
      </c>
      <c r="D16" s="25" t="s">
        <v>121</v>
      </c>
      <c r="E16" s="25" t="s">
        <v>131</v>
      </c>
      <c r="F16" s="25" t="s">
        <v>143</v>
      </c>
      <c r="G16" s="25">
        <v>4</v>
      </c>
      <c r="H16" s="25">
        <v>28529</v>
      </c>
      <c r="I16" s="25" t="s">
        <v>129</v>
      </c>
      <c r="J16" s="26">
        <v>44941</v>
      </c>
      <c r="K16" s="25">
        <v>114116</v>
      </c>
      <c r="L16" s="25">
        <v>5705.8</v>
      </c>
    </row>
    <row r="17" spans="1:12">
      <c r="A17" s="25">
        <v>1016</v>
      </c>
      <c r="B17" s="25" t="s">
        <v>130</v>
      </c>
      <c r="C17" s="25" t="s">
        <v>133</v>
      </c>
      <c r="D17" s="25" t="s">
        <v>138</v>
      </c>
      <c r="E17" s="25" t="s">
        <v>122</v>
      </c>
      <c r="F17" s="25" t="s">
        <v>140</v>
      </c>
      <c r="G17" s="25">
        <v>1</v>
      </c>
      <c r="H17" s="25">
        <v>12664</v>
      </c>
      <c r="I17" s="25" t="s">
        <v>118</v>
      </c>
      <c r="J17" s="26">
        <v>44942</v>
      </c>
      <c r="K17" s="25">
        <v>12664</v>
      </c>
      <c r="L17" s="25">
        <v>2532.8000000000002</v>
      </c>
    </row>
    <row r="18" spans="1:12">
      <c r="A18" s="25">
        <v>1017</v>
      </c>
      <c r="B18" s="25" t="s">
        <v>14</v>
      </c>
      <c r="C18" s="25" t="s">
        <v>137</v>
      </c>
      <c r="D18" s="25" t="s">
        <v>115</v>
      </c>
      <c r="E18" s="25" t="s">
        <v>127</v>
      </c>
      <c r="F18" s="25" t="s">
        <v>123</v>
      </c>
      <c r="G18" s="25">
        <v>5</v>
      </c>
      <c r="H18" s="25">
        <v>36737</v>
      </c>
      <c r="I18" s="25" t="s">
        <v>129</v>
      </c>
      <c r="J18" s="26">
        <v>44943</v>
      </c>
      <c r="K18" s="25">
        <v>183685</v>
      </c>
      <c r="L18" s="25">
        <v>7347.4</v>
      </c>
    </row>
    <row r="19" spans="1:12">
      <c r="A19" s="25">
        <v>1018</v>
      </c>
      <c r="B19" s="25" t="s">
        <v>125</v>
      </c>
      <c r="C19" s="25" t="s">
        <v>126</v>
      </c>
      <c r="D19" s="25" t="s">
        <v>121</v>
      </c>
      <c r="E19" s="25" t="s">
        <v>127</v>
      </c>
      <c r="F19" s="25" t="s">
        <v>144</v>
      </c>
      <c r="G19" s="25">
        <v>9</v>
      </c>
      <c r="H19" s="25">
        <v>36796</v>
      </c>
      <c r="I19" s="25" t="s">
        <v>129</v>
      </c>
      <c r="J19" s="26">
        <v>44944</v>
      </c>
      <c r="K19" s="25">
        <v>331164</v>
      </c>
      <c r="L19" s="25">
        <v>7359.2</v>
      </c>
    </row>
    <row r="20" spans="1:12">
      <c r="A20" s="25">
        <v>1019</v>
      </c>
      <c r="B20" s="25" t="s">
        <v>142</v>
      </c>
      <c r="C20" s="25" t="s">
        <v>126</v>
      </c>
      <c r="D20" s="25" t="s">
        <v>138</v>
      </c>
      <c r="E20" s="25" t="s">
        <v>131</v>
      </c>
      <c r="F20" s="25" t="s">
        <v>140</v>
      </c>
      <c r="G20" s="25">
        <v>1</v>
      </c>
      <c r="H20" s="25">
        <v>25027</v>
      </c>
      <c r="I20" s="25" t="s">
        <v>129</v>
      </c>
      <c r="J20" s="26">
        <v>44945</v>
      </c>
      <c r="K20" s="25">
        <v>25027</v>
      </c>
      <c r="L20" s="25">
        <v>5005.3999999999996</v>
      </c>
    </row>
    <row r="21" spans="1:12">
      <c r="A21" s="25">
        <v>1020</v>
      </c>
      <c r="B21" s="25" t="s">
        <v>14</v>
      </c>
      <c r="C21" s="25" t="s">
        <v>114</v>
      </c>
      <c r="D21" s="25" t="s">
        <v>121</v>
      </c>
      <c r="E21" s="25" t="s">
        <v>122</v>
      </c>
      <c r="F21" s="25" t="s">
        <v>140</v>
      </c>
      <c r="G21" s="25">
        <v>9</v>
      </c>
      <c r="H21" s="25">
        <v>30373</v>
      </c>
      <c r="I21" s="25" t="s">
        <v>129</v>
      </c>
      <c r="J21" s="26">
        <v>44946</v>
      </c>
      <c r="K21" s="25">
        <v>273357</v>
      </c>
      <c r="L21" s="25">
        <v>6074.6</v>
      </c>
    </row>
    <row r="22" spans="1:12">
      <c r="A22" s="25">
        <v>1021</v>
      </c>
      <c r="B22" s="25" t="s">
        <v>130</v>
      </c>
      <c r="C22" s="25" t="s">
        <v>139</v>
      </c>
      <c r="D22" s="25" t="s">
        <v>134</v>
      </c>
      <c r="E22" s="25" t="s">
        <v>131</v>
      </c>
      <c r="F22" s="25" t="s">
        <v>141</v>
      </c>
      <c r="G22" s="25">
        <v>8</v>
      </c>
      <c r="H22" s="25">
        <v>37397</v>
      </c>
      <c r="I22" s="25" t="s">
        <v>129</v>
      </c>
      <c r="J22" s="26">
        <v>44947</v>
      </c>
      <c r="K22" s="25">
        <v>299176</v>
      </c>
      <c r="L22" s="25">
        <v>7479.4</v>
      </c>
    </row>
    <row r="23" spans="1:12">
      <c r="A23" s="25">
        <v>1022</v>
      </c>
      <c r="B23" s="25" t="s">
        <v>145</v>
      </c>
      <c r="C23" s="25" t="s">
        <v>120</v>
      </c>
      <c r="D23" s="25" t="s">
        <v>115</v>
      </c>
      <c r="E23" s="25" t="s">
        <v>116</v>
      </c>
      <c r="F23" s="25" t="s">
        <v>143</v>
      </c>
      <c r="G23" s="25">
        <v>6</v>
      </c>
      <c r="H23" s="25">
        <v>21609</v>
      </c>
      <c r="I23" s="25" t="s">
        <v>118</v>
      </c>
      <c r="J23" s="26">
        <v>44948</v>
      </c>
      <c r="K23" s="25">
        <v>129654</v>
      </c>
      <c r="L23" s="25">
        <v>4321.8</v>
      </c>
    </row>
    <row r="24" spans="1:12">
      <c r="A24" s="25">
        <v>1023</v>
      </c>
      <c r="B24" s="25" t="s">
        <v>135</v>
      </c>
      <c r="C24" s="25" t="s">
        <v>137</v>
      </c>
      <c r="D24" s="25" t="s">
        <v>134</v>
      </c>
      <c r="E24" s="25" t="s">
        <v>116</v>
      </c>
      <c r="F24" s="25" t="s">
        <v>143</v>
      </c>
      <c r="G24" s="25">
        <v>7</v>
      </c>
      <c r="H24" s="25">
        <v>36835</v>
      </c>
      <c r="I24" s="25" t="s">
        <v>129</v>
      </c>
      <c r="J24" s="26">
        <v>44949</v>
      </c>
      <c r="K24" s="25">
        <v>257845</v>
      </c>
      <c r="L24" s="25">
        <v>7367</v>
      </c>
    </row>
    <row r="25" spans="1:12">
      <c r="A25" s="25">
        <v>1024</v>
      </c>
      <c r="B25" s="25" t="s">
        <v>142</v>
      </c>
      <c r="C25" s="25" t="s">
        <v>114</v>
      </c>
      <c r="D25" s="25" t="s">
        <v>138</v>
      </c>
      <c r="E25" s="25" t="s">
        <v>131</v>
      </c>
      <c r="F25" s="25" t="s">
        <v>132</v>
      </c>
      <c r="G25" s="25">
        <v>3</v>
      </c>
      <c r="H25" s="25">
        <v>39709</v>
      </c>
      <c r="I25" s="25" t="s">
        <v>129</v>
      </c>
      <c r="J25" s="26">
        <v>44950</v>
      </c>
      <c r="K25" s="25">
        <v>119127</v>
      </c>
      <c r="L25" s="25">
        <v>7941.8</v>
      </c>
    </row>
    <row r="26" spans="1:12">
      <c r="A26" s="25">
        <v>1025</v>
      </c>
      <c r="B26" s="25" t="s">
        <v>146</v>
      </c>
      <c r="C26" s="25" t="s">
        <v>139</v>
      </c>
      <c r="D26" s="25" t="s">
        <v>134</v>
      </c>
      <c r="E26" s="25" t="s">
        <v>127</v>
      </c>
      <c r="F26" s="25" t="s">
        <v>128</v>
      </c>
      <c r="G26" s="25">
        <v>1</v>
      </c>
      <c r="H26" s="25">
        <v>20250</v>
      </c>
      <c r="I26" s="25" t="s">
        <v>118</v>
      </c>
      <c r="J26" s="26">
        <v>44951</v>
      </c>
      <c r="K26" s="25">
        <v>20250</v>
      </c>
      <c r="L26" s="25">
        <v>4050</v>
      </c>
    </row>
    <row r="27" spans="1:12">
      <c r="A27" s="25">
        <v>1026</v>
      </c>
      <c r="B27" s="25" t="s">
        <v>145</v>
      </c>
      <c r="C27" s="25" t="s">
        <v>114</v>
      </c>
      <c r="D27" s="25" t="s">
        <v>134</v>
      </c>
      <c r="E27" s="25" t="s">
        <v>127</v>
      </c>
      <c r="F27" s="25" t="s">
        <v>128</v>
      </c>
      <c r="G27" s="25">
        <v>5</v>
      </c>
      <c r="H27" s="25">
        <v>22172</v>
      </c>
      <c r="I27" s="25" t="s">
        <v>118</v>
      </c>
      <c r="J27" s="26">
        <v>44952</v>
      </c>
      <c r="K27" s="25">
        <v>110860</v>
      </c>
      <c r="L27" s="25">
        <v>4434.3999999999996</v>
      </c>
    </row>
    <row r="28" spans="1:12">
      <c r="A28" s="25">
        <v>1027</v>
      </c>
      <c r="B28" s="25" t="s">
        <v>135</v>
      </c>
      <c r="C28" s="25" t="s">
        <v>137</v>
      </c>
      <c r="D28" s="25" t="s">
        <v>138</v>
      </c>
      <c r="E28" s="25" t="s">
        <v>131</v>
      </c>
      <c r="F28" s="25" t="s">
        <v>128</v>
      </c>
      <c r="G28" s="25">
        <v>2</v>
      </c>
      <c r="H28" s="25">
        <v>12555</v>
      </c>
      <c r="I28" s="25" t="s">
        <v>118</v>
      </c>
      <c r="J28" s="26">
        <v>44953</v>
      </c>
      <c r="K28" s="25">
        <v>25110</v>
      </c>
      <c r="L28" s="25">
        <v>2511</v>
      </c>
    </row>
    <row r="29" spans="1:12">
      <c r="A29" s="25">
        <v>1028</v>
      </c>
      <c r="B29" s="25" t="s">
        <v>136</v>
      </c>
      <c r="C29" s="25" t="s">
        <v>139</v>
      </c>
      <c r="D29" s="25" t="s">
        <v>121</v>
      </c>
      <c r="E29" s="25" t="s">
        <v>131</v>
      </c>
      <c r="F29" s="25" t="s">
        <v>128</v>
      </c>
      <c r="G29" s="25">
        <v>5</v>
      </c>
      <c r="H29" s="25">
        <v>22874</v>
      </c>
      <c r="I29" s="25" t="s">
        <v>118</v>
      </c>
      <c r="J29" s="26">
        <v>44954</v>
      </c>
      <c r="K29" s="25">
        <v>114370</v>
      </c>
      <c r="L29" s="25">
        <v>4574.8</v>
      </c>
    </row>
    <row r="30" spans="1:12">
      <c r="A30" s="25">
        <v>1029</v>
      </c>
      <c r="B30" s="25" t="s">
        <v>113</v>
      </c>
      <c r="C30" s="25" t="s">
        <v>114</v>
      </c>
      <c r="D30" s="25" t="s">
        <v>134</v>
      </c>
      <c r="E30" s="25" t="s">
        <v>116</v>
      </c>
      <c r="F30" s="25" t="s">
        <v>144</v>
      </c>
      <c r="G30" s="25">
        <v>8</v>
      </c>
      <c r="H30" s="25">
        <v>14081</v>
      </c>
      <c r="I30" s="25" t="s">
        <v>118</v>
      </c>
      <c r="J30" s="26">
        <v>44955</v>
      </c>
      <c r="K30" s="25">
        <v>112648</v>
      </c>
      <c r="L30" s="25">
        <v>2816.2</v>
      </c>
    </row>
    <row r="31" spans="1:12">
      <c r="A31" s="25">
        <v>1030</v>
      </c>
      <c r="B31" s="25" t="s">
        <v>119</v>
      </c>
      <c r="C31" s="25" t="s">
        <v>137</v>
      </c>
      <c r="D31" s="25" t="s">
        <v>121</v>
      </c>
      <c r="E31" s="25" t="s">
        <v>127</v>
      </c>
      <c r="F31" s="25" t="s">
        <v>144</v>
      </c>
      <c r="G31" s="25">
        <v>9</v>
      </c>
      <c r="H31" s="25">
        <v>25063</v>
      </c>
      <c r="I31" s="25" t="s">
        <v>129</v>
      </c>
      <c r="J31" s="26">
        <v>44956</v>
      </c>
      <c r="K31" s="25">
        <v>225567</v>
      </c>
      <c r="L31" s="25">
        <v>5012.6000000000004</v>
      </c>
    </row>
    <row r="32" spans="1:12">
      <c r="A32" s="25">
        <v>1031</v>
      </c>
      <c r="B32" s="25" t="s">
        <v>146</v>
      </c>
      <c r="C32" s="25" t="s">
        <v>133</v>
      </c>
      <c r="D32" s="25" t="s">
        <v>134</v>
      </c>
      <c r="E32" s="25" t="s">
        <v>131</v>
      </c>
      <c r="F32" s="25" t="s">
        <v>140</v>
      </c>
      <c r="G32" s="25">
        <v>2</v>
      </c>
      <c r="H32" s="25">
        <v>7819</v>
      </c>
      <c r="I32" s="25" t="s">
        <v>124</v>
      </c>
      <c r="J32" s="26">
        <v>44957</v>
      </c>
      <c r="K32" s="25">
        <v>15638</v>
      </c>
      <c r="L32" s="25">
        <v>1563.8</v>
      </c>
    </row>
    <row r="33" spans="1:12">
      <c r="A33" s="25">
        <v>1032</v>
      </c>
      <c r="B33" s="25" t="s">
        <v>136</v>
      </c>
      <c r="C33" s="25" t="s">
        <v>137</v>
      </c>
      <c r="D33" s="25" t="s">
        <v>121</v>
      </c>
      <c r="E33" s="25" t="s">
        <v>116</v>
      </c>
      <c r="F33" s="25" t="s">
        <v>117</v>
      </c>
      <c r="G33" s="25">
        <v>3</v>
      </c>
      <c r="H33" s="25">
        <v>26712</v>
      </c>
      <c r="I33" s="25" t="s">
        <v>129</v>
      </c>
      <c r="J33" s="26">
        <v>44958</v>
      </c>
      <c r="K33" s="25">
        <v>80136</v>
      </c>
      <c r="L33" s="25">
        <v>5342.4</v>
      </c>
    </row>
    <row r="34" spans="1:12">
      <c r="A34" s="25">
        <v>1033</v>
      </c>
      <c r="B34" s="25" t="s">
        <v>130</v>
      </c>
      <c r="C34" s="25" t="s">
        <v>133</v>
      </c>
      <c r="D34" s="25" t="s">
        <v>138</v>
      </c>
      <c r="E34" s="25" t="s">
        <v>127</v>
      </c>
      <c r="F34" s="25" t="s">
        <v>141</v>
      </c>
      <c r="G34" s="25">
        <v>3</v>
      </c>
      <c r="H34" s="25">
        <v>25762</v>
      </c>
      <c r="I34" s="25" t="s">
        <v>129</v>
      </c>
      <c r="J34" s="26">
        <v>44959</v>
      </c>
      <c r="K34" s="25">
        <v>77286</v>
      </c>
      <c r="L34" s="25">
        <v>5152.3999999999996</v>
      </c>
    </row>
    <row r="35" spans="1:12">
      <c r="A35" s="25">
        <v>1034</v>
      </c>
      <c r="B35" s="25" t="s">
        <v>136</v>
      </c>
      <c r="C35" s="25" t="s">
        <v>137</v>
      </c>
      <c r="D35" s="25" t="s">
        <v>134</v>
      </c>
      <c r="E35" s="25" t="s">
        <v>122</v>
      </c>
      <c r="F35" s="25" t="s">
        <v>141</v>
      </c>
      <c r="G35" s="25">
        <v>1</v>
      </c>
      <c r="H35" s="25">
        <v>12046</v>
      </c>
      <c r="I35" s="25" t="s">
        <v>118</v>
      </c>
      <c r="J35" s="26">
        <v>44960</v>
      </c>
      <c r="K35" s="25">
        <v>12046</v>
      </c>
      <c r="L35" s="25">
        <v>2409.1999999999998</v>
      </c>
    </row>
    <row r="36" spans="1:12">
      <c r="A36" s="25">
        <v>1035</v>
      </c>
      <c r="B36" s="25" t="s">
        <v>113</v>
      </c>
      <c r="C36" s="25" t="s">
        <v>114</v>
      </c>
      <c r="D36" s="25" t="s">
        <v>138</v>
      </c>
      <c r="E36" s="25" t="s">
        <v>116</v>
      </c>
      <c r="F36" s="25" t="s">
        <v>128</v>
      </c>
      <c r="G36" s="25">
        <v>8</v>
      </c>
      <c r="H36" s="25">
        <v>32463</v>
      </c>
      <c r="I36" s="25" t="s">
        <v>129</v>
      </c>
      <c r="J36" s="26">
        <v>44961</v>
      </c>
      <c r="K36" s="25">
        <v>259704</v>
      </c>
      <c r="L36" s="25">
        <v>6492.6</v>
      </c>
    </row>
    <row r="37" spans="1:12">
      <c r="A37" s="25">
        <v>1036</v>
      </c>
      <c r="B37" s="25" t="s">
        <v>130</v>
      </c>
      <c r="C37" s="25" t="s">
        <v>133</v>
      </c>
      <c r="D37" s="25" t="s">
        <v>134</v>
      </c>
      <c r="E37" s="25" t="s">
        <v>127</v>
      </c>
      <c r="F37" s="25" t="s">
        <v>140</v>
      </c>
      <c r="G37" s="25">
        <v>6</v>
      </c>
      <c r="H37" s="25">
        <v>29769</v>
      </c>
      <c r="I37" s="25" t="s">
        <v>129</v>
      </c>
      <c r="J37" s="26">
        <v>44962</v>
      </c>
      <c r="K37" s="25">
        <v>178614</v>
      </c>
      <c r="L37" s="25">
        <v>5953.8</v>
      </c>
    </row>
    <row r="38" spans="1:12">
      <c r="A38" s="25">
        <v>1037</v>
      </c>
      <c r="B38" s="25" t="s">
        <v>146</v>
      </c>
      <c r="C38" s="25" t="s">
        <v>120</v>
      </c>
      <c r="D38" s="25" t="s">
        <v>138</v>
      </c>
      <c r="E38" s="25" t="s">
        <v>127</v>
      </c>
      <c r="F38" s="25" t="s">
        <v>132</v>
      </c>
      <c r="G38" s="25">
        <v>8</v>
      </c>
      <c r="H38" s="25">
        <v>24150</v>
      </c>
      <c r="I38" s="25" t="s">
        <v>118</v>
      </c>
      <c r="J38" s="26">
        <v>44963</v>
      </c>
      <c r="K38" s="25">
        <v>193200</v>
      </c>
      <c r="L38" s="25">
        <v>4830</v>
      </c>
    </row>
    <row r="39" spans="1:12">
      <c r="A39" s="25">
        <v>1038</v>
      </c>
      <c r="B39" s="25" t="s">
        <v>113</v>
      </c>
      <c r="C39" s="25" t="s">
        <v>133</v>
      </c>
      <c r="D39" s="25" t="s">
        <v>138</v>
      </c>
      <c r="E39" s="25" t="s">
        <v>116</v>
      </c>
      <c r="F39" s="25" t="s">
        <v>123</v>
      </c>
      <c r="G39" s="25">
        <v>9</v>
      </c>
      <c r="H39" s="25">
        <v>3711</v>
      </c>
      <c r="I39" s="25" t="s">
        <v>124</v>
      </c>
      <c r="J39" s="26">
        <v>44964</v>
      </c>
      <c r="K39" s="25">
        <v>33399</v>
      </c>
      <c r="L39" s="25">
        <v>742.2</v>
      </c>
    </row>
    <row r="40" spans="1:12">
      <c r="A40" s="25">
        <v>1039</v>
      </c>
      <c r="B40" s="25" t="s">
        <v>14</v>
      </c>
      <c r="C40" s="25" t="s">
        <v>120</v>
      </c>
      <c r="D40" s="25" t="s">
        <v>134</v>
      </c>
      <c r="E40" s="25" t="s">
        <v>122</v>
      </c>
      <c r="F40" s="25" t="s">
        <v>117</v>
      </c>
      <c r="G40" s="25">
        <v>5</v>
      </c>
      <c r="H40" s="25">
        <v>5853</v>
      </c>
      <c r="I40" s="25" t="s">
        <v>124</v>
      </c>
      <c r="J40" s="26">
        <v>44965</v>
      </c>
      <c r="K40" s="25">
        <v>29265</v>
      </c>
      <c r="L40" s="25">
        <v>1170.5999999999999</v>
      </c>
    </row>
    <row r="41" spans="1:12">
      <c r="A41" s="25">
        <v>1040</v>
      </c>
      <c r="B41" s="25" t="s">
        <v>119</v>
      </c>
      <c r="C41" s="25" t="s">
        <v>126</v>
      </c>
      <c r="D41" s="25" t="s">
        <v>134</v>
      </c>
      <c r="E41" s="25" t="s">
        <v>116</v>
      </c>
      <c r="F41" s="25" t="s">
        <v>140</v>
      </c>
      <c r="G41" s="25">
        <v>3</v>
      </c>
      <c r="H41" s="25">
        <v>30077</v>
      </c>
      <c r="I41" s="25" t="s">
        <v>129</v>
      </c>
      <c r="J41" s="26">
        <v>44966</v>
      </c>
      <c r="K41" s="25">
        <v>90231</v>
      </c>
      <c r="L41" s="25">
        <v>6015.4</v>
      </c>
    </row>
    <row r="42" spans="1:12">
      <c r="A42" s="25">
        <v>1041</v>
      </c>
      <c r="B42" s="25" t="s">
        <v>146</v>
      </c>
      <c r="C42" s="25" t="s">
        <v>139</v>
      </c>
      <c r="D42" s="25" t="s">
        <v>134</v>
      </c>
      <c r="E42" s="25" t="s">
        <v>127</v>
      </c>
      <c r="F42" s="25" t="s">
        <v>117</v>
      </c>
      <c r="G42" s="25">
        <v>5</v>
      </c>
      <c r="H42" s="25">
        <v>24863</v>
      </c>
      <c r="I42" s="25" t="s">
        <v>118</v>
      </c>
      <c r="J42" s="26">
        <v>44967</v>
      </c>
      <c r="K42" s="25">
        <v>124315</v>
      </c>
      <c r="L42" s="25">
        <v>4972.6000000000004</v>
      </c>
    </row>
    <row r="43" spans="1:12">
      <c r="A43" s="25">
        <v>1042</v>
      </c>
      <c r="B43" s="25" t="s">
        <v>14</v>
      </c>
      <c r="C43" s="25" t="s">
        <v>114</v>
      </c>
      <c r="D43" s="25" t="s">
        <v>115</v>
      </c>
      <c r="E43" s="25" t="s">
        <v>131</v>
      </c>
      <c r="F43" s="25" t="s">
        <v>117</v>
      </c>
      <c r="G43" s="25">
        <v>5</v>
      </c>
      <c r="H43" s="25">
        <v>22792</v>
      </c>
      <c r="I43" s="25" t="s">
        <v>118</v>
      </c>
      <c r="J43" s="26">
        <v>44968</v>
      </c>
      <c r="K43" s="25">
        <v>113960</v>
      </c>
      <c r="L43" s="25">
        <v>4558.3999999999996</v>
      </c>
    </row>
    <row r="44" spans="1:12">
      <c r="A44" s="25">
        <v>1043</v>
      </c>
      <c r="B44" s="25" t="s">
        <v>135</v>
      </c>
      <c r="C44" s="25" t="s">
        <v>114</v>
      </c>
      <c r="D44" s="25" t="s">
        <v>121</v>
      </c>
      <c r="E44" s="25" t="s">
        <v>131</v>
      </c>
      <c r="F44" s="25" t="s">
        <v>117</v>
      </c>
      <c r="G44" s="25">
        <v>5</v>
      </c>
      <c r="H44" s="25">
        <v>41483</v>
      </c>
      <c r="I44" s="25" t="s">
        <v>129</v>
      </c>
      <c r="J44" s="26">
        <v>44969</v>
      </c>
      <c r="K44" s="25">
        <v>207415</v>
      </c>
      <c r="L44" s="25">
        <v>8296.6</v>
      </c>
    </row>
    <row r="45" spans="1:12">
      <c r="A45" s="25">
        <v>1044</v>
      </c>
      <c r="B45" s="25" t="s">
        <v>146</v>
      </c>
      <c r="C45" s="25" t="s">
        <v>133</v>
      </c>
      <c r="D45" s="25" t="s">
        <v>115</v>
      </c>
      <c r="E45" s="25" t="s">
        <v>116</v>
      </c>
      <c r="F45" s="25" t="s">
        <v>140</v>
      </c>
      <c r="G45" s="25">
        <v>3</v>
      </c>
      <c r="H45" s="25">
        <v>9942</v>
      </c>
      <c r="I45" s="25" t="s">
        <v>124</v>
      </c>
      <c r="J45" s="26">
        <v>44970</v>
      </c>
      <c r="K45" s="25">
        <v>29826</v>
      </c>
      <c r="L45" s="25">
        <v>1988.4</v>
      </c>
    </row>
    <row r="46" spans="1:12">
      <c r="A46" s="25">
        <v>1045</v>
      </c>
      <c r="B46" s="25" t="s">
        <v>135</v>
      </c>
      <c r="C46" s="25" t="s">
        <v>139</v>
      </c>
      <c r="D46" s="25" t="s">
        <v>115</v>
      </c>
      <c r="E46" s="25" t="s">
        <v>127</v>
      </c>
      <c r="F46" s="25" t="s">
        <v>128</v>
      </c>
      <c r="G46" s="25">
        <v>4</v>
      </c>
      <c r="H46" s="25">
        <v>49275</v>
      </c>
      <c r="I46" s="25" t="s">
        <v>129</v>
      </c>
      <c r="J46" s="26">
        <v>44971</v>
      </c>
      <c r="K46" s="25">
        <v>197100</v>
      </c>
      <c r="L46" s="25">
        <v>9855</v>
      </c>
    </row>
    <row r="47" spans="1:12">
      <c r="A47" s="25">
        <v>1046</v>
      </c>
      <c r="B47" s="25" t="s">
        <v>130</v>
      </c>
      <c r="C47" s="25" t="s">
        <v>139</v>
      </c>
      <c r="D47" s="25" t="s">
        <v>138</v>
      </c>
      <c r="E47" s="25" t="s">
        <v>131</v>
      </c>
      <c r="F47" s="25" t="s">
        <v>141</v>
      </c>
      <c r="G47" s="25">
        <v>9</v>
      </c>
      <c r="H47" s="25">
        <v>49594</v>
      </c>
      <c r="I47" s="25" t="s">
        <v>129</v>
      </c>
      <c r="J47" s="26">
        <v>44972</v>
      </c>
      <c r="K47" s="25">
        <v>446346</v>
      </c>
      <c r="L47" s="25">
        <v>9918.7999999999993</v>
      </c>
    </row>
    <row r="48" spans="1:12">
      <c r="A48" s="25">
        <v>1047</v>
      </c>
      <c r="B48" s="25" t="s">
        <v>14</v>
      </c>
      <c r="C48" s="25" t="s">
        <v>139</v>
      </c>
      <c r="D48" s="25" t="s">
        <v>134</v>
      </c>
      <c r="E48" s="25" t="s">
        <v>127</v>
      </c>
      <c r="F48" s="25" t="s">
        <v>141</v>
      </c>
      <c r="G48" s="25">
        <v>9</v>
      </c>
      <c r="H48" s="25">
        <v>2762</v>
      </c>
      <c r="I48" s="25" t="s">
        <v>124</v>
      </c>
      <c r="J48" s="26">
        <v>44973</v>
      </c>
      <c r="K48" s="25">
        <v>24858</v>
      </c>
      <c r="L48" s="25">
        <v>552.4</v>
      </c>
    </row>
    <row r="49" spans="1:12">
      <c r="A49" s="25">
        <v>1048</v>
      </c>
      <c r="B49" s="25" t="s">
        <v>119</v>
      </c>
      <c r="C49" s="25" t="s">
        <v>126</v>
      </c>
      <c r="D49" s="25" t="s">
        <v>121</v>
      </c>
      <c r="E49" s="25" t="s">
        <v>116</v>
      </c>
      <c r="F49" s="25" t="s">
        <v>128</v>
      </c>
      <c r="G49" s="25">
        <v>2</v>
      </c>
      <c r="H49" s="25">
        <v>32987</v>
      </c>
      <c r="I49" s="25" t="s">
        <v>129</v>
      </c>
      <c r="J49" s="26">
        <v>44974</v>
      </c>
      <c r="K49" s="25">
        <v>65974</v>
      </c>
      <c r="L49" s="25">
        <v>6597.4</v>
      </c>
    </row>
    <row r="50" spans="1:12">
      <c r="A50" s="25">
        <v>1049</v>
      </c>
      <c r="B50" s="25" t="s">
        <v>113</v>
      </c>
      <c r="C50" s="25" t="s">
        <v>139</v>
      </c>
      <c r="D50" s="25" t="s">
        <v>138</v>
      </c>
      <c r="E50" s="25" t="s">
        <v>131</v>
      </c>
      <c r="F50" s="25" t="s">
        <v>117</v>
      </c>
      <c r="G50" s="25">
        <v>8</v>
      </c>
      <c r="H50" s="25">
        <v>16850</v>
      </c>
      <c r="I50" s="25" t="s">
        <v>118</v>
      </c>
      <c r="J50" s="26">
        <v>44975</v>
      </c>
      <c r="K50" s="25">
        <v>134800</v>
      </c>
      <c r="L50" s="25">
        <v>3370</v>
      </c>
    </row>
    <row r="51" spans="1:12">
      <c r="A51" s="25">
        <v>1050</v>
      </c>
      <c r="B51" s="25" t="s">
        <v>125</v>
      </c>
      <c r="C51" s="25" t="s">
        <v>120</v>
      </c>
      <c r="D51" s="25" t="s">
        <v>115</v>
      </c>
      <c r="E51" s="25" t="s">
        <v>127</v>
      </c>
      <c r="F51" s="25" t="s">
        <v>123</v>
      </c>
      <c r="G51" s="25">
        <v>8</v>
      </c>
      <c r="H51" s="25">
        <v>13112</v>
      </c>
      <c r="I51" s="25" t="s">
        <v>118</v>
      </c>
      <c r="J51" s="26">
        <v>44976</v>
      </c>
      <c r="K51" s="25">
        <v>104896</v>
      </c>
      <c r="L51" s="25">
        <v>2622.4</v>
      </c>
    </row>
    <row r="52" spans="1:12">
      <c r="A52" s="25">
        <v>1051</v>
      </c>
      <c r="B52" s="25" t="s">
        <v>136</v>
      </c>
      <c r="C52" s="25" t="s">
        <v>120</v>
      </c>
      <c r="D52" s="25" t="s">
        <v>134</v>
      </c>
      <c r="E52" s="25" t="s">
        <v>131</v>
      </c>
      <c r="F52" s="25" t="s">
        <v>143</v>
      </c>
      <c r="G52" s="25">
        <v>7</v>
      </c>
      <c r="H52" s="25">
        <v>25058</v>
      </c>
      <c r="I52" s="25" t="s">
        <v>129</v>
      </c>
      <c r="J52" s="26">
        <v>44977</v>
      </c>
      <c r="K52" s="25">
        <v>175406</v>
      </c>
      <c r="L52" s="25">
        <v>5011.6000000000004</v>
      </c>
    </row>
    <row r="53" spans="1:12">
      <c r="A53" s="25">
        <v>1052</v>
      </c>
      <c r="B53" s="25" t="s">
        <v>145</v>
      </c>
      <c r="C53" s="25" t="s">
        <v>137</v>
      </c>
      <c r="D53" s="25" t="s">
        <v>138</v>
      </c>
      <c r="E53" s="25" t="s">
        <v>116</v>
      </c>
      <c r="F53" s="25" t="s">
        <v>140</v>
      </c>
      <c r="G53" s="25">
        <v>8</v>
      </c>
      <c r="H53" s="25">
        <v>46420</v>
      </c>
      <c r="I53" s="25" t="s">
        <v>129</v>
      </c>
      <c r="J53" s="26">
        <v>44978</v>
      </c>
      <c r="K53" s="25">
        <v>371360</v>
      </c>
      <c r="L53" s="25">
        <v>9284</v>
      </c>
    </row>
    <row r="54" spans="1:12">
      <c r="A54" s="25">
        <v>1053</v>
      </c>
      <c r="B54" s="25" t="s">
        <v>119</v>
      </c>
      <c r="C54" s="25" t="s">
        <v>139</v>
      </c>
      <c r="D54" s="25" t="s">
        <v>134</v>
      </c>
      <c r="E54" s="25" t="s">
        <v>127</v>
      </c>
      <c r="F54" s="25" t="s">
        <v>143</v>
      </c>
      <c r="G54" s="25">
        <v>3</v>
      </c>
      <c r="H54" s="25">
        <v>39890</v>
      </c>
      <c r="I54" s="25" t="s">
        <v>129</v>
      </c>
      <c r="J54" s="26">
        <v>44979</v>
      </c>
      <c r="K54" s="25">
        <v>119670</v>
      </c>
      <c r="L54" s="25">
        <v>7978</v>
      </c>
    </row>
    <row r="55" spans="1:12">
      <c r="A55" s="25">
        <v>1054</v>
      </c>
      <c r="B55" s="25" t="s">
        <v>14</v>
      </c>
      <c r="C55" s="25" t="s">
        <v>120</v>
      </c>
      <c r="D55" s="25" t="s">
        <v>138</v>
      </c>
      <c r="E55" s="25" t="s">
        <v>131</v>
      </c>
      <c r="F55" s="25" t="s">
        <v>132</v>
      </c>
      <c r="G55" s="25">
        <v>6</v>
      </c>
      <c r="H55" s="25">
        <v>1481</v>
      </c>
      <c r="I55" s="25" t="s">
        <v>124</v>
      </c>
      <c r="J55" s="26">
        <v>44980</v>
      </c>
      <c r="K55" s="25">
        <v>8886</v>
      </c>
      <c r="L55" s="25">
        <v>296.2</v>
      </c>
    </row>
    <row r="56" spans="1:12">
      <c r="A56" s="25">
        <v>1055</v>
      </c>
      <c r="B56" s="25" t="s">
        <v>125</v>
      </c>
      <c r="C56" s="25" t="s">
        <v>120</v>
      </c>
      <c r="D56" s="25" t="s">
        <v>134</v>
      </c>
      <c r="E56" s="25" t="s">
        <v>116</v>
      </c>
      <c r="F56" s="25" t="s">
        <v>128</v>
      </c>
      <c r="G56" s="25">
        <v>1</v>
      </c>
      <c r="H56" s="25">
        <v>48304</v>
      </c>
      <c r="I56" s="25" t="s">
        <v>129</v>
      </c>
      <c r="J56" s="26">
        <v>44981</v>
      </c>
      <c r="K56" s="25">
        <v>48304</v>
      </c>
      <c r="L56" s="25">
        <v>9660.7999999999993</v>
      </c>
    </row>
    <row r="57" spans="1:12">
      <c r="A57" s="25">
        <v>1056</v>
      </c>
      <c r="B57" s="25" t="s">
        <v>119</v>
      </c>
      <c r="C57" s="25" t="s">
        <v>139</v>
      </c>
      <c r="D57" s="25" t="s">
        <v>115</v>
      </c>
      <c r="E57" s="25" t="s">
        <v>131</v>
      </c>
      <c r="F57" s="25" t="s">
        <v>123</v>
      </c>
      <c r="G57" s="25">
        <v>7</v>
      </c>
      <c r="H57" s="25">
        <v>33921</v>
      </c>
      <c r="I57" s="25" t="s">
        <v>129</v>
      </c>
      <c r="J57" s="26">
        <v>44982</v>
      </c>
      <c r="K57" s="25">
        <v>237447</v>
      </c>
      <c r="L57" s="25">
        <v>6784.2</v>
      </c>
    </row>
    <row r="58" spans="1:12">
      <c r="A58" s="25">
        <v>1057</v>
      </c>
      <c r="B58" s="25" t="s">
        <v>14</v>
      </c>
      <c r="C58" s="25" t="s">
        <v>120</v>
      </c>
      <c r="D58" s="25" t="s">
        <v>121</v>
      </c>
      <c r="E58" s="25" t="s">
        <v>131</v>
      </c>
      <c r="F58" s="25" t="s">
        <v>140</v>
      </c>
      <c r="G58" s="25">
        <v>1</v>
      </c>
      <c r="H58" s="25">
        <v>41385</v>
      </c>
      <c r="I58" s="25" t="s">
        <v>129</v>
      </c>
      <c r="J58" s="26">
        <v>44983</v>
      </c>
      <c r="K58" s="25">
        <v>41385</v>
      </c>
      <c r="L58" s="25">
        <v>8277</v>
      </c>
    </row>
    <row r="59" spans="1:12">
      <c r="A59" s="25">
        <v>1058</v>
      </c>
      <c r="B59" s="25" t="s">
        <v>142</v>
      </c>
      <c r="C59" s="25" t="s">
        <v>137</v>
      </c>
      <c r="D59" s="25" t="s">
        <v>115</v>
      </c>
      <c r="E59" s="25" t="s">
        <v>122</v>
      </c>
      <c r="F59" s="25" t="s">
        <v>128</v>
      </c>
      <c r="G59" s="25">
        <v>9</v>
      </c>
      <c r="H59" s="25">
        <v>2524</v>
      </c>
      <c r="I59" s="25" t="s">
        <v>124</v>
      </c>
      <c r="J59" s="26">
        <v>44984</v>
      </c>
      <c r="K59" s="25">
        <v>22716</v>
      </c>
      <c r="L59" s="25">
        <v>504.8</v>
      </c>
    </row>
    <row r="60" spans="1:12">
      <c r="A60" s="25">
        <v>1059</v>
      </c>
      <c r="B60" s="25" t="s">
        <v>142</v>
      </c>
      <c r="C60" s="25" t="s">
        <v>133</v>
      </c>
      <c r="D60" s="25" t="s">
        <v>121</v>
      </c>
      <c r="E60" s="25" t="s">
        <v>122</v>
      </c>
      <c r="F60" s="25" t="s">
        <v>117</v>
      </c>
      <c r="G60" s="25">
        <v>1</v>
      </c>
      <c r="H60" s="25">
        <v>35888</v>
      </c>
      <c r="I60" s="25" t="s">
        <v>129</v>
      </c>
      <c r="J60" s="26">
        <v>44985</v>
      </c>
      <c r="K60" s="25">
        <v>35888</v>
      </c>
      <c r="L60" s="25">
        <v>7177.6</v>
      </c>
    </row>
    <row r="61" spans="1:12">
      <c r="A61" s="25">
        <v>1060</v>
      </c>
      <c r="B61" s="25" t="s">
        <v>135</v>
      </c>
      <c r="C61" s="25" t="s">
        <v>126</v>
      </c>
      <c r="D61" s="25" t="s">
        <v>134</v>
      </c>
      <c r="E61" s="25" t="s">
        <v>116</v>
      </c>
      <c r="F61" s="25" t="s">
        <v>141</v>
      </c>
      <c r="G61" s="25">
        <v>1</v>
      </c>
      <c r="H61" s="25">
        <v>16048</v>
      </c>
      <c r="I61" s="25" t="s">
        <v>118</v>
      </c>
      <c r="J61" s="26">
        <v>44986</v>
      </c>
      <c r="K61" s="25">
        <v>16048</v>
      </c>
      <c r="L61" s="25">
        <v>3209.6</v>
      </c>
    </row>
    <row r="62" spans="1:12">
      <c r="A62" s="25">
        <v>1061</v>
      </c>
      <c r="B62" s="25" t="s">
        <v>119</v>
      </c>
      <c r="C62" s="25" t="s">
        <v>137</v>
      </c>
      <c r="D62" s="25" t="s">
        <v>138</v>
      </c>
      <c r="E62" s="25" t="s">
        <v>122</v>
      </c>
      <c r="F62" s="25" t="s">
        <v>143</v>
      </c>
      <c r="G62" s="25">
        <v>7</v>
      </c>
      <c r="H62" s="25">
        <v>36111</v>
      </c>
      <c r="I62" s="25" t="s">
        <v>129</v>
      </c>
      <c r="J62" s="26">
        <v>44987</v>
      </c>
      <c r="K62" s="25">
        <v>252777</v>
      </c>
      <c r="L62" s="25">
        <v>7222.2</v>
      </c>
    </row>
    <row r="63" spans="1:12">
      <c r="A63" s="25">
        <v>1062</v>
      </c>
      <c r="B63" s="25" t="s">
        <v>142</v>
      </c>
      <c r="C63" s="25" t="s">
        <v>126</v>
      </c>
      <c r="D63" s="25" t="s">
        <v>115</v>
      </c>
      <c r="E63" s="25" t="s">
        <v>116</v>
      </c>
      <c r="F63" s="25" t="s">
        <v>144</v>
      </c>
      <c r="G63" s="25">
        <v>2</v>
      </c>
      <c r="H63" s="25">
        <v>38904</v>
      </c>
      <c r="I63" s="25" t="s">
        <v>129</v>
      </c>
      <c r="J63" s="26">
        <v>44988</v>
      </c>
      <c r="K63" s="25">
        <v>77808</v>
      </c>
      <c r="L63" s="25">
        <v>7780.8</v>
      </c>
    </row>
    <row r="64" spans="1:12">
      <c r="A64" s="25">
        <v>1063</v>
      </c>
      <c r="B64" s="25" t="s">
        <v>14</v>
      </c>
      <c r="C64" s="25" t="s">
        <v>126</v>
      </c>
      <c r="D64" s="25" t="s">
        <v>121</v>
      </c>
      <c r="E64" s="25" t="s">
        <v>122</v>
      </c>
      <c r="F64" s="25" t="s">
        <v>144</v>
      </c>
      <c r="G64" s="25">
        <v>5</v>
      </c>
      <c r="H64" s="25">
        <v>35008</v>
      </c>
      <c r="I64" s="25" t="s">
        <v>129</v>
      </c>
      <c r="J64" s="26">
        <v>44989</v>
      </c>
      <c r="K64" s="25">
        <v>175040</v>
      </c>
      <c r="L64" s="25">
        <v>7001.6</v>
      </c>
    </row>
    <row r="65" spans="1:12">
      <c r="A65" s="25">
        <v>1064</v>
      </c>
      <c r="B65" s="25" t="s">
        <v>135</v>
      </c>
      <c r="C65" s="25" t="s">
        <v>137</v>
      </c>
      <c r="D65" s="25" t="s">
        <v>115</v>
      </c>
      <c r="E65" s="25" t="s">
        <v>131</v>
      </c>
      <c r="F65" s="25" t="s">
        <v>123</v>
      </c>
      <c r="G65" s="25">
        <v>8</v>
      </c>
      <c r="H65" s="25">
        <v>1060</v>
      </c>
      <c r="I65" s="25" t="s">
        <v>124</v>
      </c>
      <c r="J65" s="26">
        <v>44990</v>
      </c>
      <c r="K65" s="25">
        <v>8480</v>
      </c>
      <c r="L65" s="25">
        <v>212</v>
      </c>
    </row>
    <row r="66" spans="1:12">
      <c r="A66" s="25">
        <v>1065</v>
      </c>
      <c r="B66" s="25" t="s">
        <v>14</v>
      </c>
      <c r="C66" s="25" t="s">
        <v>120</v>
      </c>
      <c r="D66" s="25" t="s">
        <v>121</v>
      </c>
      <c r="E66" s="25" t="s">
        <v>116</v>
      </c>
      <c r="F66" s="25" t="s">
        <v>117</v>
      </c>
      <c r="G66" s="25">
        <v>8</v>
      </c>
      <c r="H66" s="25">
        <v>10130</v>
      </c>
      <c r="I66" s="25" t="s">
        <v>118</v>
      </c>
      <c r="J66" s="26">
        <v>44991</v>
      </c>
      <c r="K66" s="25">
        <v>81040</v>
      </c>
      <c r="L66" s="25">
        <v>2026</v>
      </c>
    </row>
    <row r="67" spans="1:12">
      <c r="A67" s="25">
        <v>1066</v>
      </c>
      <c r="B67" s="25" t="s">
        <v>135</v>
      </c>
      <c r="C67" s="25" t="s">
        <v>139</v>
      </c>
      <c r="D67" s="25" t="s">
        <v>115</v>
      </c>
      <c r="E67" s="25" t="s">
        <v>116</v>
      </c>
      <c r="F67" s="25" t="s">
        <v>132</v>
      </c>
      <c r="G67" s="25">
        <v>3</v>
      </c>
      <c r="H67" s="25">
        <v>19023</v>
      </c>
      <c r="I67" s="25" t="s">
        <v>118</v>
      </c>
      <c r="J67" s="26">
        <v>44992</v>
      </c>
      <c r="K67" s="25">
        <v>57069</v>
      </c>
      <c r="L67" s="25">
        <v>3804.6</v>
      </c>
    </row>
    <row r="68" spans="1:12">
      <c r="A68" s="25">
        <v>1067</v>
      </c>
      <c r="B68" s="25" t="s">
        <v>119</v>
      </c>
      <c r="C68" s="25" t="s">
        <v>137</v>
      </c>
      <c r="D68" s="25" t="s">
        <v>121</v>
      </c>
      <c r="E68" s="25" t="s">
        <v>131</v>
      </c>
      <c r="F68" s="25" t="s">
        <v>143</v>
      </c>
      <c r="G68" s="25">
        <v>7</v>
      </c>
      <c r="H68" s="25">
        <v>46080</v>
      </c>
      <c r="I68" s="25" t="s">
        <v>129</v>
      </c>
      <c r="J68" s="26">
        <v>44993</v>
      </c>
      <c r="K68" s="25">
        <v>322560</v>
      </c>
      <c r="L68" s="25">
        <v>9216</v>
      </c>
    </row>
    <row r="69" spans="1:12">
      <c r="A69" s="25">
        <v>1068</v>
      </c>
      <c r="B69" s="25" t="s">
        <v>125</v>
      </c>
      <c r="C69" s="25" t="s">
        <v>126</v>
      </c>
      <c r="D69" s="25" t="s">
        <v>121</v>
      </c>
      <c r="E69" s="25" t="s">
        <v>116</v>
      </c>
      <c r="F69" s="25" t="s">
        <v>117</v>
      </c>
      <c r="G69" s="25">
        <v>3</v>
      </c>
      <c r="H69" s="25">
        <v>14350</v>
      </c>
      <c r="I69" s="25" t="s">
        <v>118</v>
      </c>
      <c r="J69" s="26">
        <v>44994</v>
      </c>
      <c r="K69" s="25">
        <v>43050</v>
      </c>
      <c r="L69" s="25">
        <v>2870</v>
      </c>
    </row>
    <row r="70" spans="1:12">
      <c r="A70" s="25">
        <v>1069</v>
      </c>
      <c r="B70" s="25" t="s">
        <v>113</v>
      </c>
      <c r="C70" s="25" t="s">
        <v>137</v>
      </c>
      <c r="D70" s="25" t="s">
        <v>134</v>
      </c>
      <c r="E70" s="25" t="s">
        <v>116</v>
      </c>
      <c r="F70" s="25" t="s">
        <v>143</v>
      </c>
      <c r="G70" s="25">
        <v>6</v>
      </c>
      <c r="H70" s="25">
        <v>25354</v>
      </c>
      <c r="I70" s="25" t="s">
        <v>129</v>
      </c>
      <c r="J70" s="26">
        <v>44995</v>
      </c>
      <c r="K70" s="25">
        <v>152124</v>
      </c>
      <c r="L70" s="25">
        <v>5070.8</v>
      </c>
    </row>
    <row r="71" spans="1:12">
      <c r="A71" s="25">
        <v>1070</v>
      </c>
      <c r="B71" s="25" t="s">
        <v>146</v>
      </c>
      <c r="C71" s="25" t="s">
        <v>120</v>
      </c>
      <c r="D71" s="25" t="s">
        <v>121</v>
      </c>
      <c r="E71" s="25" t="s">
        <v>122</v>
      </c>
      <c r="F71" s="25" t="s">
        <v>123</v>
      </c>
      <c r="G71" s="25">
        <v>6</v>
      </c>
      <c r="H71" s="25">
        <v>46186</v>
      </c>
      <c r="I71" s="25" t="s">
        <v>129</v>
      </c>
      <c r="J71" s="26">
        <v>44996</v>
      </c>
      <c r="K71" s="25">
        <v>277116</v>
      </c>
      <c r="L71" s="25">
        <v>9237.2000000000007</v>
      </c>
    </row>
    <row r="72" spans="1:12">
      <c r="A72" s="25">
        <v>1071</v>
      </c>
      <c r="B72" s="25" t="s">
        <v>125</v>
      </c>
      <c r="C72" s="25" t="s">
        <v>126</v>
      </c>
      <c r="D72" s="25" t="s">
        <v>134</v>
      </c>
      <c r="E72" s="25" t="s">
        <v>116</v>
      </c>
      <c r="F72" s="25" t="s">
        <v>123</v>
      </c>
      <c r="G72" s="25">
        <v>3</v>
      </c>
      <c r="H72" s="25">
        <v>29145</v>
      </c>
      <c r="I72" s="25" t="s">
        <v>129</v>
      </c>
      <c r="J72" s="26">
        <v>44997</v>
      </c>
      <c r="K72" s="25">
        <v>87435</v>
      </c>
      <c r="L72" s="25">
        <v>5829</v>
      </c>
    </row>
    <row r="73" spans="1:12">
      <c r="A73" s="25">
        <v>1072</v>
      </c>
      <c r="B73" s="25" t="s">
        <v>130</v>
      </c>
      <c r="C73" s="25" t="s">
        <v>126</v>
      </c>
      <c r="D73" s="25" t="s">
        <v>121</v>
      </c>
      <c r="E73" s="25" t="s">
        <v>127</v>
      </c>
      <c r="F73" s="25" t="s">
        <v>132</v>
      </c>
      <c r="G73" s="25">
        <v>7</v>
      </c>
      <c r="H73" s="25">
        <v>35020</v>
      </c>
      <c r="I73" s="25" t="s">
        <v>129</v>
      </c>
      <c r="J73" s="26">
        <v>44998</v>
      </c>
      <c r="K73" s="25">
        <v>245140</v>
      </c>
      <c r="L73" s="25">
        <v>7004</v>
      </c>
    </row>
    <row r="74" spans="1:12">
      <c r="A74" s="25">
        <v>1073</v>
      </c>
      <c r="B74" s="25" t="s">
        <v>14</v>
      </c>
      <c r="C74" s="25" t="s">
        <v>114</v>
      </c>
      <c r="D74" s="25" t="s">
        <v>138</v>
      </c>
      <c r="E74" s="25" t="s">
        <v>131</v>
      </c>
      <c r="F74" s="25" t="s">
        <v>144</v>
      </c>
      <c r="G74" s="25">
        <v>3</v>
      </c>
      <c r="H74" s="25">
        <v>21587</v>
      </c>
      <c r="I74" s="25" t="s">
        <v>118</v>
      </c>
      <c r="J74" s="26">
        <v>44999</v>
      </c>
      <c r="K74" s="25">
        <v>64761</v>
      </c>
      <c r="L74" s="25">
        <v>4317.3999999999996</v>
      </c>
    </row>
    <row r="75" spans="1:12">
      <c r="A75" s="25">
        <v>1074</v>
      </c>
      <c r="B75" s="25" t="s">
        <v>130</v>
      </c>
      <c r="C75" s="25" t="s">
        <v>139</v>
      </c>
      <c r="D75" s="25" t="s">
        <v>138</v>
      </c>
      <c r="E75" s="25" t="s">
        <v>122</v>
      </c>
      <c r="F75" s="25" t="s">
        <v>117</v>
      </c>
      <c r="G75" s="25">
        <v>8</v>
      </c>
      <c r="H75" s="25">
        <v>42131</v>
      </c>
      <c r="I75" s="25" t="s">
        <v>129</v>
      </c>
      <c r="J75" s="26">
        <v>45000</v>
      </c>
      <c r="K75" s="25">
        <v>337048</v>
      </c>
      <c r="L75" s="25">
        <v>8426.2000000000007</v>
      </c>
    </row>
    <row r="76" spans="1:12">
      <c r="A76" s="25">
        <v>1075</v>
      </c>
      <c r="B76" s="25" t="s">
        <v>125</v>
      </c>
      <c r="C76" s="25" t="s">
        <v>133</v>
      </c>
      <c r="D76" s="25" t="s">
        <v>138</v>
      </c>
      <c r="E76" s="25" t="s">
        <v>122</v>
      </c>
      <c r="F76" s="25" t="s">
        <v>140</v>
      </c>
      <c r="G76" s="25">
        <v>4</v>
      </c>
      <c r="H76" s="25">
        <v>10650</v>
      </c>
      <c r="I76" s="25" t="s">
        <v>118</v>
      </c>
      <c r="J76" s="26">
        <v>45001</v>
      </c>
      <c r="K76" s="25">
        <v>42600</v>
      </c>
      <c r="L76" s="25">
        <v>2130</v>
      </c>
    </row>
    <row r="77" spans="1:12">
      <c r="A77" s="25">
        <v>1076</v>
      </c>
      <c r="B77" s="25" t="s">
        <v>135</v>
      </c>
      <c r="C77" s="25" t="s">
        <v>120</v>
      </c>
      <c r="D77" s="25" t="s">
        <v>121</v>
      </c>
      <c r="E77" s="25" t="s">
        <v>127</v>
      </c>
      <c r="F77" s="25" t="s">
        <v>144</v>
      </c>
      <c r="G77" s="25">
        <v>1</v>
      </c>
      <c r="H77" s="25">
        <v>20933</v>
      </c>
      <c r="I77" s="25" t="s">
        <v>118</v>
      </c>
      <c r="J77" s="26">
        <v>45002</v>
      </c>
      <c r="K77" s="25">
        <v>20933</v>
      </c>
      <c r="L77" s="25">
        <v>4186.6000000000004</v>
      </c>
    </row>
    <row r="78" spans="1:12">
      <c r="A78" s="25">
        <v>1077</v>
      </c>
      <c r="B78" s="25" t="s">
        <v>146</v>
      </c>
      <c r="C78" s="25" t="s">
        <v>114</v>
      </c>
      <c r="D78" s="25" t="s">
        <v>134</v>
      </c>
      <c r="E78" s="25" t="s">
        <v>131</v>
      </c>
      <c r="F78" s="25" t="s">
        <v>117</v>
      </c>
      <c r="G78" s="25">
        <v>4</v>
      </c>
      <c r="H78" s="25">
        <v>21581</v>
      </c>
      <c r="I78" s="25" t="s">
        <v>118</v>
      </c>
      <c r="J78" s="26">
        <v>45003</v>
      </c>
      <c r="K78" s="25">
        <v>86324</v>
      </c>
      <c r="L78" s="25">
        <v>4316.2</v>
      </c>
    </row>
    <row r="79" spans="1:12">
      <c r="A79" s="25">
        <v>1078</v>
      </c>
      <c r="B79" s="25" t="s">
        <v>146</v>
      </c>
      <c r="C79" s="25" t="s">
        <v>133</v>
      </c>
      <c r="D79" s="25" t="s">
        <v>134</v>
      </c>
      <c r="E79" s="25" t="s">
        <v>131</v>
      </c>
      <c r="F79" s="25" t="s">
        <v>144</v>
      </c>
      <c r="G79" s="25">
        <v>7</v>
      </c>
      <c r="H79" s="25">
        <v>24393</v>
      </c>
      <c r="I79" s="25" t="s">
        <v>118</v>
      </c>
      <c r="J79" s="26">
        <v>45004</v>
      </c>
      <c r="K79" s="25">
        <v>170751</v>
      </c>
      <c r="L79" s="25">
        <v>4878.6000000000004</v>
      </c>
    </row>
    <row r="80" spans="1:12">
      <c r="A80" s="25">
        <v>1079</v>
      </c>
      <c r="B80" s="25" t="s">
        <v>145</v>
      </c>
      <c r="C80" s="25" t="s">
        <v>137</v>
      </c>
      <c r="D80" s="25" t="s">
        <v>121</v>
      </c>
      <c r="E80" s="25" t="s">
        <v>122</v>
      </c>
      <c r="F80" s="25" t="s">
        <v>140</v>
      </c>
      <c r="G80" s="25">
        <v>4</v>
      </c>
      <c r="H80" s="25">
        <v>24051</v>
      </c>
      <c r="I80" s="25" t="s">
        <v>118</v>
      </c>
      <c r="J80" s="26">
        <v>45005</v>
      </c>
      <c r="K80" s="25">
        <v>96204</v>
      </c>
      <c r="L80" s="25">
        <v>4810.2</v>
      </c>
    </row>
    <row r="81" spans="1:12">
      <c r="A81" s="25">
        <v>1080</v>
      </c>
      <c r="B81" s="25" t="s">
        <v>146</v>
      </c>
      <c r="C81" s="25" t="s">
        <v>137</v>
      </c>
      <c r="D81" s="25" t="s">
        <v>138</v>
      </c>
      <c r="E81" s="25" t="s">
        <v>116</v>
      </c>
      <c r="F81" s="25" t="s">
        <v>141</v>
      </c>
      <c r="G81" s="25">
        <v>6</v>
      </c>
      <c r="H81" s="25">
        <v>27212</v>
      </c>
      <c r="I81" s="25" t="s">
        <v>129</v>
      </c>
      <c r="J81" s="26">
        <v>45006</v>
      </c>
      <c r="K81" s="25">
        <v>163272</v>
      </c>
      <c r="L81" s="25">
        <v>5442.4</v>
      </c>
    </row>
    <row r="82" spans="1:12">
      <c r="A82" s="25">
        <v>1081</v>
      </c>
      <c r="B82" s="25" t="s">
        <v>113</v>
      </c>
      <c r="C82" s="25" t="s">
        <v>139</v>
      </c>
      <c r="D82" s="25" t="s">
        <v>138</v>
      </c>
      <c r="E82" s="25" t="s">
        <v>122</v>
      </c>
      <c r="F82" s="25" t="s">
        <v>141</v>
      </c>
      <c r="G82" s="25">
        <v>9</v>
      </c>
      <c r="H82" s="25">
        <v>5090</v>
      </c>
      <c r="I82" s="25" t="s">
        <v>124</v>
      </c>
      <c r="J82" s="26">
        <v>45007</v>
      </c>
      <c r="K82" s="25">
        <v>45810</v>
      </c>
      <c r="L82" s="25">
        <v>1018</v>
      </c>
    </row>
    <row r="83" spans="1:12">
      <c r="A83" s="25">
        <v>1082</v>
      </c>
      <c r="B83" s="25" t="s">
        <v>146</v>
      </c>
      <c r="C83" s="25" t="s">
        <v>120</v>
      </c>
      <c r="D83" s="25" t="s">
        <v>134</v>
      </c>
      <c r="E83" s="25" t="s">
        <v>131</v>
      </c>
      <c r="F83" s="25" t="s">
        <v>132</v>
      </c>
      <c r="G83" s="25">
        <v>1</v>
      </c>
      <c r="H83" s="25">
        <v>7960</v>
      </c>
      <c r="I83" s="25" t="s">
        <v>124</v>
      </c>
      <c r="J83" s="26">
        <v>45008</v>
      </c>
      <c r="K83" s="25">
        <v>7960</v>
      </c>
      <c r="L83" s="25">
        <v>1592</v>
      </c>
    </row>
    <row r="84" spans="1:12">
      <c r="A84" s="25">
        <v>1083</v>
      </c>
      <c r="B84" s="25" t="s">
        <v>125</v>
      </c>
      <c r="C84" s="25" t="s">
        <v>133</v>
      </c>
      <c r="D84" s="25" t="s">
        <v>138</v>
      </c>
      <c r="E84" s="25" t="s">
        <v>127</v>
      </c>
      <c r="F84" s="25" t="s">
        <v>141</v>
      </c>
      <c r="G84" s="25">
        <v>5</v>
      </c>
      <c r="H84" s="25">
        <v>36772</v>
      </c>
      <c r="I84" s="25" t="s">
        <v>129</v>
      </c>
      <c r="J84" s="26">
        <v>45009</v>
      </c>
      <c r="K84" s="25">
        <v>183860</v>
      </c>
      <c r="L84" s="25">
        <v>7354.4</v>
      </c>
    </row>
    <row r="85" spans="1:12">
      <c r="A85" s="25">
        <v>1084</v>
      </c>
      <c r="B85" s="25" t="s">
        <v>145</v>
      </c>
      <c r="C85" s="25" t="s">
        <v>114</v>
      </c>
      <c r="D85" s="25" t="s">
        <v>115</v>
      </c>
      <c r="E85" s="25" t="s">
        <v>122</v>
      </c>
      <c r="F85" s="25" t="s">
        <v>141</v>
      </c>
      <c r="G85" s="25">
        <v>7</v>
      </c>
      <c r="H85" s="25">
        <v>22520</v>
      </c>
      <c r="I85" s="25" t="s">
        <v>118</v>
      </c>
      <c r="J85" s="26">
        <v>45010</v>
      </c>
      <c r="K85" s="25">
        <v>157640</v>
      </c>
      <c r="L85" s="25">
        <v>4504</v>
      </c>
    </row>
    <row r="86" spans="1:12">
      <c r="A86" s="25">
        <v>1085</v>
      </c>
      <c r="B86" s="25" t="s">
        <v>125</v>
      </c>
      <c r="C86" s="25" t="s">
        <v>133</v>
      </c>
      <c r="D86" s="25" t="s">
        <v>134</v>
      </c>
      <c r="E86" s="25" t="s">
        <v>131</v>
      </c>
      <c r="F86" s="25" t="s">
        <v>128</v>
      </c>
      <c r="G86" s="25">
        <v>1</v>
      </c>
      <c r="H86" s="25">
        <v>37408</v>
      </c>
      <c r="I86" s="25" t="s">
        <v>129</v>
      </c>
      <c r="J86" s="26">
        <v>45011</v>
      </c>
      <c r="K86" s="25">
        <v>37408</v>
      </c>
      <c r="L86" s="25">
        <v>7481.6</v>
      </c>
    </row>
    <row r="87" spans="1:12">
      <c r="A87" s="25">
        <v>1086</v>
      </c>
      <c r="B87" s="25" t="s">
        <v>125</v>
      </c>
      <c r="C87" s="25" t="s">
        <v>126</v>
      </c>
      <c r="D87" s="25" t="s">
        <v>138</v>
      </c>
      <c r="E87" s="25" t="s">
        <v>122</v>
      </c>
      <c r="F87" s="25" t="s">
        <v>143</v>
      </c>
      <c r="G87" s="25">
        <v>4</v>
      </c>
      <c r="H87" s="25">
        <v>29470</v>
      </c>
      <c r="I87" s="25" t="s">
        <v>129</v>
      </c>
      <c r="J87" s="26">
        <v>45012</v>
      </c>
      <c r="K87" s="25">
        <v>117880</v>
      </c>
      <c r="L87" s="25">
        <v>5894</v>
      </c>
    </row>
    <row r="88" spans="1:12">
      <c r="A88" s="25">
        <v>1087</v>
      </c>
      <c r="B88" s="25" t="s">
        <v>136</v>
      </c>
      <c r="C88" s="25" t="s">
        <v>120</v>
      </c>
      <c r="D88" s="25" t="s">
        <v>134</v>
      </c>
      <c r="E88" s="25" t="s">
        <v>116</v>
      </c>
      <c r="F88" s="25" t="s">
        <v>128</v>
      </c>
      <c r="G88" s="25">
        <v>6</v>
      </c>
      <c r="H88" s="25">
        <v>21491</v>
      </c>
      <c r="I88" s="25" t="s">
        <v>118</v>
      </c>
      <c r="J88" s="26">
        <v>45013</v>
      </c>
      <c r="K88" s="25">
        <v>128946</v>
      </c>
      <c r="L88" s="25">
        <v>4298.2</v>
      </c>
    </row>
    <row r="89" spans="1:12">
      <c r="A89" s="25">
        <v>1088</v>
      </c>
      <c r="B89" s="25" t="s">
        <v>145</v>
      </c>
      <c r="C89" s="25" t="s">
        <v>120</v>
      </c>
      <c r="D89" s="25" t="s">
        <v>115</v>
      </c>
      <c r="E89" s="25" t="s">
        <v>122</v>
      </c>
      <c r="F89" s="25" t="s">
        <v>128</v>
      </c>
      <c r="G89" s="25">
        <v>2</v>
      </c>
      <c r="H89" s="25">
        <v>2341</v>
      </c>
      <c r="I89" s="25" t="s">
        <v>124</v>
      </c>
      <c r="J89" s="26">
        <v>45014</v>
      </c>
      <c r="K89" s="25">
        <v>4682</v>
      </c>
      <c r="L89" s="25">
        <v>468.2</v>
      </c>
    </row>
    <row r="90" spans="1:12">
      <c r="A90" s="25">
        <v>1089</v>
      </c>
      <c r="B90" s="25" t="s">
        <v>125</v>
      </c>
      <c r="C90" s="25" t="s">
        <v>137</v>
      </c>
      <c r="D90" s="25" t="s">
        <v>134</v>
      </c>
      <c r="E90" s="25" t="s">
        <v>122</v>
      </c>
      <c r="F90" s="25" t="s">
        <v>132</v>
      </c>
      <c r="G90" s="25">
        <v>5</v>
      </c>
      <c r="H90" s="25">
        <v>45623</v>
      </c>
      <c r="I90" s="25" t="s">
        <v>129</v>
      </c>
      <c r="J90" s="26">
        <v>45015</v>
      </c>
      <c r="K90" s="25">
        <v>228115</v>
      </c>
      <c r="L90" s="25">
        <v>9124.6</v>
      </c>
    </row>
    <row r="91" spans="1:12">
      <c r="A91" s="25">
        <v>1090</v>
      </c>
      <c r="B91" s="25" t="s">
        <v>136</v>
      </c>
      <c r="C91" s="25" t="s">
        <v>133</v>
      </c>
      <c r="D91" s="25" t="s">
        <v>134</v>
      </c>
      <c r="E91" s="25" t="s">
        <v>131</v>
      </c>
      <c r="F91" s="25" t="s">
        <v>128</v>
      </c>
      <c r="G91" s="25">
        <v>1</v>
      </c>
      <c r="H91" s="25">
        <v>25791</v>
      </c>
      <c r="I91" s="25" t="s">
        <v>129</v>
      </c>
      <c r="J91" s="26">
        <v>45016</v>
      </c>
      <c r="K91" s="25">
        <v>25791</v>
      </c>
      <c r="L91" s="25">
        <v>5158.2</v>
      </c>
    </row>
    <row r="92" spans="1:12">
      <c r="A92" s="25">
        <v>1091</v>
      </c>
      <c r="B92" s="25" t="s">
        <v>136</v>
      </c>
      <c r="C92" s="25" t="s">
        <v>137</v>
      </c>
      <c r="D92" s="25" t="s">
        <v>134</v>
      </c>
      <c r="E92" s="25" t="s">
        <v>131</v>
      </c>
      <c r="F92" s="25" t="s">
        <v>141</v>
      </c>
      <c r="G92" s="25">
        <v>6</v>
      </c>
      <c r="H92" s="25">
        <v>1338</v>
      </c>
      <c r="I92" s="25" t="s">
        <v>124</v>
      </c>
      <c r="J92" s="26">
        <v>45017</v>
      </c>
      <c r="K92" s="25">
        <v>8028</v>
      </c>
      <c r="L92" s="25">
        <v>267.60000000000002</v>
      </c>
    </row>
    <row r="93" spans="1:12">
      <c r="A93" s="25">
        <v>1092</v>
      </c>
      <c r="B93" s="25" t="s">
        <v>145</v>
      </c>
      <c r="C93" s="25" t="s">
        <v>139</v>
      </c>
      <c r="D93" s="25" t="s">
        <v>134</v>
      </c>
      <c r="E93" s="25" t="s">
        <v>131</v>
      </c>
      <c r="F93" s="25" t="s">
        <v>140</v>
      </c>
      <c r="G93" s="25">
        <v>6</v>
      </c>
      <c r="H93" s="25">
        <v>6895</v>
      </c>
      <c r="I93" s="25" t="s">
        <v>124</v>
      </c>
      <c r="J93" s="26">
        <v>45018</v>
      </c>
      <c r="K93" s="25">
        <v>41370</v>
      </c>
      <c r="L93" s="25">
        <v>1379</v>
      </c>
    </row>
    <row r="94" spans="1:12">
      <c r="A94" s="25">
        <v>1093</v>
      </c>
      <c r="B94" s="25" t="s">
        <v>130</v>
      </c>
      <c r="C94" s="25" t="s">
        <v>133</v>
      </c>
      <c r="D94" s="25" t="s">
        <v>115</v>
      </c>
      <c r="E94" s="25" t="s">
        <v>122</v>
      </c>
      <c r="F94" s="25" t="s">
        <v>132</v>
      </c>
      <c r="G94" s="25">
        <v>4</v>
      </c>
      <c r="H94" s="25">
        <v>13254</v>
      </c>
      <c r="I94" s="25" t="s">
        <v>118</v>
      </c>
      <c r="J94" s="26">
        <v>45019</v>
      </c>
      <c r="K94" s="25">
        <v>53016</v>
      </c>
      <c r="L94" s="25">
        <v>2650.8</v>
      </c>
    </row>
    <row r="95" spans="1:12">
      <c r="A95" s="25">
        <v>1094</v>
      </c>
      <c r="B95" s="25" t="s">
        <v>135</v>
      </c>
      <c r="C95" s="25" t="s">
        <v>126</v>
      </c>
      <c r="D95" s="25" t="s">
        <v>121</v>
      </c>
      <c r="E95" s="25" t="s">
        <v>116</v>
      </c>
      <c r="F95" s="25" t="s">
        <v>132</v>
      </c>
      <c r="G95" s="25">
        <v>8</v>
      </c>
      <c r="H95" s="25">
        <v>12344</v>
      </c>
      <c r="I95" s="25" t="s">
        <v>118</v>
      </c>
      <c r="J95" s="26">
        <v>45020</v>
      </c>
      <c r="K95" s="25">
        <v>98752</v>
      </c>
      <c r="L95" s="25">
        <v>2468.8000000000002</v>
      </c>
    </row>
    <row r="96" spans="1:12">
      <c r="A96" s="25">
        <v>1095</v>
      </c>
      <c r="B96" s="25" t="s">
        <v>113</v>
      </c>
      <c r="C96" s="25" t="s">
        <v>120</v>
      </c>
      <c r="D96" s="25" t="s">
        <v>134</v>
      </c>
      <c r="E96" s="25" t="s">
        <v>127</v>
      </c>
      <c r="F96" s="25" t="s">
        <v>123</v>
      </c>
      <c r="G96" s="25">
        <v>4</v>
      </c>
      <c r="H96" s="25">
        <v>2750</v>
      </c>
      <c r="I96" s="25" t="s">
        <v>124</v>
      </c>
      <c r="J96" s="26">
        <v>45021</v>
      </c>
      <c r="K96" s="25">
        <v>11000</v>
      </c>
      <c r="L96" s="25">
        <v>550</v>
      </c>
    </row>
    <row r="97" spans="1:12">
      <c r="A97" s="25">
        <v>1096</v>
      </c>
      <c r="B97" s="25" t="s">
        <v>135</v>
      </c>
      <c r="C97" s="25" t="s">
        <v>133</v>
      </c>
      <c r="D97" s="25" t="s">
        <v>134</v>
      </c>
      <c r="E97" s="25" t="s">
        <v>127</v>
      </c>
      <c r="F97" s="25" t="s">
        <v>132</v>
      </c>
      <c r="G97" s="25">
        <v>8</v>
      </c>
      <c r="H97" s="25">
        <v>3421</v>
      </c>
      <c r="I97" s="25" t="s">
        <v>124</v>
      </c>
      <c r="J97" s="26">
        <v>45022</v>
      </c>
      <c r="K97" s="25">
        <v>27368</v>
      </c>
      <c r="L97" s="25">
        <v>684.2</v>
      </c>
    </row>
    <row r="98" spans="1:12">
      <c r="A98" s="25">
        <v>1097</v>
      </c>
      <c r="B98" s="25" t="s">
        <v>146</v>
      </c>
      <c r="C98" s="25" t="s">
        <v>114</v>
      </c>
      <c r="D98" s="25" t="s">
        <v>138</v>
      </c>
      <c r="E98" s="25" t="s">
        <v>131</v>
      </c>
      <c r="F98" s="25" t="s">
        <v>123</v>
      </c>
      <c r="G98" s="25">
        <v>8</v>
      </c>
      <c r="H98" s="25">
        <v>40887</v>
      </c>
      <c r="I98" s="25" t="s">
        <v>129</v>
      </c>
      <c r="J98" s="26">
        <v>45023</v>
      </c>
      <c r="K98" s="25">
        <v>327096</v>
      </c>
      <c r="L98" s="25">
        <v>8177.4</v>
      </c>
    </row>
    <row r="99" spans="1:12">
      <c r="A99" s="25">
        <v>1098</v>
      </c>
      <c r="B99" s="25" t="s">
        <v>113</v>
      </c>
      <c r="C99" s="25" t="s">
        <v>137</v>
      </c>
      <c r="D99" s="25" t="s">
        <v>134</v>
      </c>
      <c r="E99" s="25" t="s">
        <v>131</v>
      </c>
      <c r="F99" s="25" t="s">
        <v>132</v>
      </c>
      <c r="G99" s="25">
        <v>5</v>
      </c>
      <c r="H99" s="25">
        <v>6319</v>
      </c>
      <c r="I99" s="25" t="s">
        <v>124</v>
      </c>
      <c r="J99" s="26">
        <v>45024</v>
      </c>
      <c r="K99" s="25">
        <v>31595</v>
      </c>
      <c r="L99" s="25">
        <v>1263.8</v>
      </c>
    </row>
    <row r="100" spans="1:12">
      <c r="A100" s="25">
        <v>1099</v>
      </c>
      <c r="B100" s="25" t="s">
        <v>146</v>
      </c>
      <c r="C100" s="25" t="s">
        <v>120</v>
      </c>
      <c r="D100" s="25" t="s">
        <v>138</v>
      </c>
      <c r="E100" s="25" t="s">
        <v>122</v>
      </c>
      <c r="F100" s="25" t="s">
        <v>143</v>
      </c>
      <c r="G100" s="25">
        <v>4</v>
      </c>
      <c r="H100" s="25">
        <v>16896</v>
      </c>
      <c r="I100" s="25" t="s">
        <v>118</v>
      </c>
      <c r="J100" s="26">
        <v>45025</v>
      </c>
      <c r="K100" s="25">
        <v>67584</v>
      </c>
      <c r="L100" s="25">
        <v>3379.2</v>
      </c>
    </row>
    <row r="101" spans="1:12">
      <c r="A101" s="25">
        <v>1100</v>
      </c>
      <c r="B101" s="25" t="s">
        <v>125</v>
      </c>
      <c r="C101" s="25" t="s">
        <v>120</v>
      </c>
      <c r="D101" s="25" t="s">
        <v>121</v>
      </c>
      <c r="E101" s="25" t="s">
        <v>127</v>
      </c>
      <c r="F101" s="25" t="s">
        <v>141</v>
      </c>
      <c r="G101" s="25">
        <v>2</v>
      </c>
      <c r="H101" s="25">
        <v>12918</v>
      </c>
      <c r="I101" s="25" t="s">
        <v>118</v>
      </c>
      <c r="J101" s="26">
        <v>45026</v>
      </c>
      <c r="K101" s="25">
        <v>25836</v>
      </c>
      <c r="L101" s="25">
        <v>2583.6</v>
      </c>
    </row>
    <row r="102" spans="1:12">
      <c r="A102" s="25">
        <v>1101</v>
      </c>
      <c r="B102" s="25" t="s">
        <v>14</v>
      </c>
      <c r="C102" s="25" t="s">
        <v>133</v>
      </c>
      <c r="D102" s="25" t="s">
        <v>115</v>
      </c>
      <c r="E102" s="25" t="s">
        <v>131</v>
      </c>
      <c r="F102" s="25" t="s">
        <v>132</v>
      </c>
      <c r="G102" s="25">
        <v>3</v>
      </c>
      <c r="H102" s="25">
        <v>26064</v>
      </c>
      <c r="I102" s="25" t="s">
        <v>129</v>
      </c>
      <c r="J102" s="26">
        <v>45027</v>
      </c>
      <c r="K102" s="25">
        <v>78192</v>
      </c>
      <c r="L102" s="25">
        <v>5212.8</v>
      </c>
    </row>
    <row r="103" spans="1:12">
      <c r="A103" s="25">
        <v>1102</v>
      </c>
      <c r="B103" s="25" t="s">
        <v>145</v>
      </c>
      <c r="C103" s="25" t="s">
        <v>114</v>
      </c>
      <c r="D103" s="25" t="s">
        <v>115</v>
      </c>
      <c r="E103" s="25" t="s">
        <v>116</v>
      </c>
      <c r="F103" s="25" t="s">
        <v>141</v>
      </c>
      <c r="G103" s="25">
        <v>3</v>
      </c>
      <c r="H103" s="25">
        <v>47617</v>
      </c>
      <c r="I103" s="25" t="s">
        <v>129</v>
      </c>
      <c r="J103" s="26">
        <v>45028</v>
      </c>
      <c r="K103" s="25">
        <v>142851</v>
      </c>
      <c r="L103" s="25">
        <v>9523.4</v>
      </c>
    </row>
    <row r="104" spans="1:12">
      <c r="A104" s="25">
        <v>1103</v>
      </c>
      <c r="B104" s="25" t="s">
        <v>113</v>
      </c>
      <c r="C104" s="25" t="s">
        <v>133</v>
      </c>
      <c r="D104" s="25" t="s">
        <v>121</v>
      </c>
      <c r="E104" s="25" t="s">
        <v>116</v>
      </c>
      <c r="F104" s="25" t="s">
        <v>141</v>
      </c>
      <c r="G104" s="25">
        <v>4</v>
      </c>
      <c r="H104" s="25">
        <v>28935</v>
      </c>
      <c r="I104" s="25" t="s">
        <v>129</v>
      </c>
      <c r="J104" s="26">
        <v>45029</v>
      </c>
      <c r="K104" s="25">
        <v>115740</v>
      </c>
      <c r="L104" s="25">
        <v>5787</v>
      </c>
    </row>
    <row r="105" spans="1:12">
      <c r="A105" s="25">
        <v>1104</v>
      </c>
      <c r="B105" s="25" t="s">
        <v>113</v>
      </c>
      <c r="C105" s="25" t="s">
        <v>120</v>
      </c>
      <c r="D105" s="25" t="s">
        <v>115</v>
      </c>
      <c r="E105" s="25" t="s">
        <v>131</v>
      </c>
      <c r="F105" s="25" t="s">
        <v>144</v>
      </c>
      <c r="G105" s="25">
        <v>4</v>
      </c>
      <c r="H105" s="25">
        <v>38641</v>
      </c>
      <c r="I105" s="25" t="s">
        <v>129</v>
      </c>
      <c r="J105" s="26">
        <v>45030</v>
      </c>
      <c r="K105" s="25">
        <v>154564</v>
      </c>
      <c r="L105" s="25">
        <v>7728.2</v>
      </c>
    </row>
    <row r="106" spans="1:12">
      <c r="A106" s="25">
        <v>1105</v>
      </c>
      <c r="B106" s="25" t="s">
        <v>125</v>
      </c>
      <c r="C106" s="25" t="s">
        <v>120</v>
      </c>
      <c r="D106" s="25" t="s">
        <v>121</v>
      </c>
      <c r="E106" s="25" t="s">
        <v>131</v>
      </c>
      <c r="F106" s="25" t="s">
        <v>132</v>
      </c>
      <c r="G106" s="25">
        <v>5</v>
      </c>
      <c r="H106" s="25">
        <v>30711</v>
      </c>
      <c r="I106" s="25" t="s">
        <v>129</v>
      </c>
      <c r="J106" s="26">
        <v>45031</v>
      </c>
      <c r="K106" s="25">
        <v>153555</v>
      </c>
      <c r="L106" s="25">
        <v>6142.2</v>
      </c>
    </row>
    <row r="107" spans="1:12">
      <c r="A107" s="25">
        <v>1106</v>
      </c>
      <c r="B107" s="25" t="s">
        <v>130</v>
      </c>
      <c r="C107" s="25" t="s">
        <v>133</v>
      </c>
      <c r="D107" s="25" t="s">
        <v>121</v>
      </c>
      <c r="E107" s="25" t="s">
        <v>127</v>
      </c>
      <c r="F107" s="25" t="s">
        <v>117</v>
      </c>
      <c r="G107" s="25">
        <v>4</v>
      </c>
      <c r="H107" s="25">
        <v>5806</v>
      </c>
      <c r="I107" s="25" t="s">
        <v>124</v>
      </c>
      <c r="J107" s="26">
        <v>45032</v>
      </c>
      <c r="K107" s="25">
        <v>23224</v>
      </c>
      <c r="L107" s="25">
        <v>1161.2</v>
      </c>
    </row>
    <row r="108" spans="1:12">
      <c r="A108" s="25">
        <v>1107</v>
      </c>
      <c r="B108" s="25" t="s">
        <v>136</v>
      </c>
      <c r="C108" s="25" t="s">
        <v>126</v>
      </c>
      <c r="D108" s="25" t="s">
        <v>121</v>
      </c>
      <c r="E108" s="25" t="s">
        <v>127</v>
      </c>
      <c r="F108" s="25" t="s">
        <v>144</v>
      </c>
      <c r="G108" s="25">
        <v>8</v>
      </c>
      <c r="H108" s="25">
        <v>42360</v>
      </c>
      <c r="I108" s="25" t="s">
        <v>129</v>
      </c>
      <c r="J108" s="26">
        <v>45033</v>
      </c>
      <c r="K108" s="25">
        <v>338880</v>
      </c>
      <c r="L108" s="25">
        <v>8472</v>
      </c>
    </row>
    <row r="109" spans="1:12">
      <c r="A109" s="25">
        <v>1108</v>
      </c>
      <c r="B109" s="25" t="s">
        <v>125</v>
      </c>
      <c r="C109" s="25" t="s">
        <v>114</v>
      </c>
      <c r="D109" s="25" t="s">
        <v>115</v>
      </c>
      <c r="E109" s="25" t="s">
        <v>122</v>
      </c>
      <c r="F109" s="25" t="s">
        <v>117</v>
      </c>
      <c r="G109" s="25">
        <v>6</v>
      </c>
      <c r="H109" s="25">
        <v>13182</v>
      </c>
      <c r="I109" s="25" t="s">
        <v>118</v>
      </c>
      <c r="J109" s="26">
        <v>45034</v>
      </c>
      <c r="K109" s="25">
        <v>79092</v>
      </c>
      <c r="L109" s="25">
        <v>2636.4</v>
      </c>
    </row>
    <row r="110" spans="1:12">
      <c r="A110" s="25">
        <v>1109</v>
      </c>
      <c r="B110" s="25" t="s">
        <v>142</v>
      </c>
      <c r="C110" s="25" t="s">
        <v>133</v>
      </c>
      <c r="D110" s="25" t="s">
        <v>138</v>
      </c>
      <c r="E110" s="25" t="s">
        <v>127</v>
      </c>
      <c r="F110" s="25" t="s">
        <v>141</v>
      </c>
      <c r="G110" s="25">
        <v>6</v>
      </c>
      <c r="H110" s="25">
        <v>23297</v>
      </c>
      <c r="I110" s="25" t="s">
        <v>118</v>
      </c>
      <c r="J110" s="26">
        <v>45035</v>
      </c>
      <c r="K110" s="25">
        <v>139782</v>
      </c>
      <c r="L110" s="25">
        <v>4659.3999999999996</v>
      </c>
    </row>
    <row r="111" spans="1:12">
      <c r="A111" s="25">
        <v>1110</v>
      </c>
      <c r="B111" s="25" t="s">
        <v>136</v>
      </c>
      <c r="C111" s="25" t="s">
        <v>137</v>
      </c>
      <c r="D111" s="25" t="s">
        <v>121</v>
      </c>
      <c r="E111" s="25" t="s">
        <v>116</v>
      </c>
      <c r="F111" s="25" t="s">
        <v>141</v>
      </c>
      <c r="G111" s="25">
        <v>8</v>
      </c>
      <c r="H111" s="25">
        <v>20541</v>
      </c>
      <c r="I111" s="25" t="s">
        <v>118</v>
      </c>
      <c r="J111" s="26">
        <v>45036</v>
      </c>
      <c r="K111" s="25">
        <v>164328</v>
      </c>
      <c r="L111" s="25">
        <v>4108.2</v>
      </c>
    </row>
    <row r="112" spans="1:12">
      <c r="A112" s="25">
        <v>1111</v>
      </c>
      <c r="B112" s="25" t="s">
        <v>145</v>
      </c>
      <c r="C112" s="25" t="s">
        <v>120</v>
      </c>
      <c r="D112" s="25" t="s">
        <v>134</v>
      </c>
      <c r="E112" s="25" t="s">
        <v>116</v>
      </c>
      <c r="F112" s="25" t="s">
        <v>144</v>
      </c>
      <c r="G112" s="25">
        <v>7</v>
      </c>
      <c r="H112" s="25">
        <v>29921</v>
      </c>
      <c r="I112" s="25" t="s">
        <v>129</v>
      </c>
      <c r="J112" s="26">
        <v>45037</v>
      </c>
      <c r="K112" s="25">
        <v>209447</v>
      </c>
      <c r="L112" s="25">
        <v>5984.2</v>
      </c>
    </row>
    <row r="113" spans="1:12">
      <c r="A113" s="25">
        <v>1112</v>
      </c>
      <c r="B113" s="25" t="s">
        <v>136</v>
      </c>
      <c r="C113" s="25" t="s">
        <v>126</v>
      </c>
      <c r="D113" s="25" t="s">
        <v>115</v>
      </c>
      <c r="E113" s="25" t="s">
        <v>131</v>
      </c>
      <c r="F113" s="25" t="s">
        <v>144</v>
      </c>
      <c r="G113" s="25">
        <v>8</v>
      </c>
      <c r="H113" s="25">
        <v>17774</v>
      </c>
      <c r="I113" s="25" t="s">
        <v>118</v>
      </c>
      <c r="J113" s="26">
        <v>45038</v>
      </c>
      <c r="K113" s="25">
        <v>142192</v>
      </c>
      <c r="L113" s="25">
        <v>3554.8</v>
      </c>
    </row>
    <row r="114" spans="1:12">
      <c r="A114" s="25">
        <v>1113</v>
      </c>
      <c r="B114" s="25" t="s">
        <v>130</v>
      </c>
      <c r="C114" s="25" t="s">
        <v>120</v>
      </c>
      <c r="D114" s="25" t="s">
        <v>121</v>
      </c>
      <c r="E114" s="25" t="s">
        <v>127</v>
      </c>
      <c r="F114" s="25" t="s">
        <v>117</v>
      </c>
      <c r="G114" s="25">
        <v>2</v>
      </c>
      <c r="H114" s="25">
        <v>45813</v>
      </c>
      <c r="I114" s="25" t="s">
        <v>129</v>
      </c>
      <c r="J114" s="26">
        <v>45039</v>
      </c>
      <c r="K114" s="25">
        <v>91626</v>
      </c>
      <c r="L114" s="25">
        <v>9162.6</v>
      </c>
    </row>
    <row r="115" spans="1:12">
      <c r="A115" s="25">
        <v>1114</v>
      </c>
      <c r="B115" s="25" t="s">
        <v>136</v>
      </c>
      <c r="C115" s="25" t="s">
        <v>139</v>
      </c>
      <c r="D115" s="25" t="s">
        <v>121</v>
      </c>
      <c r="E115" s="25" t="s">
        <v>122</v>
      </c>
      <c r="F115" s="25" t="s">
        <v>123</v>
      </c>
      <c r="G115" s="25">
        <v>9</v>
      </c>
      <c r="H115" s="25">
        <v>38198</v>
      </c>
      <c r="I115" s="25" t="s">
        <v>129</v>
      </c>
      <c r="J115" s="26">
        <v>45040</v>
      </c>
      <c r="K115" s="25">
        <v>343782</v>
      </c>
      <c r="L115" s="25">
        <v>7639.6</v>
      </c>
    </row>
    <row r="116" spans="1:12">
      <c r="A116" s="25">
        <v>1115</v>
      </c>
      <c r="B116" s="25" t="s">
        <v>145</v>
      </c>
      <c r="C116" s="25" t="s">
        <v>126</v>
      </c>
      <c r="D116" s="25" t="s">
        <v>134</v>
      </c>
      <c r="E116" s="25" t="s">
        <v>116</v>
      </c>
      <c r="F116" s="25" t="s">
        <v>117</v>
      </c>
      <c r="G116" s="25">
        <v>1</v>
      </c>
      <c r="H116" s="25">
        <v>9820</v>
      </c>
      <c r="I116" s="25" t="s">
        <v>124</v>
      </c>
      <c r="J116" s="26">
        <v>45041</v>
      </c>
      <c r="K116" s="25">
        <v>9820</v>
      </c>
      <c r="L116" s="25">
        <v>1964</v>
      </c>
    </row>
    <row r="117" spans="1:12">
      <c r="A117" s="25">
        <v>1116</v>
      </c>
      <c r="B117" s="25" t="s">
        <v>130</v>
      </c>
      <c r="C117" s="25" t="s">
        <v>133</v>
      </c>
      <c r="D117" s="25" t="s">
        <v>138</v>
      </c>
      <c r="E117" s="25" t="s">
        <v>116</v>
      </c>
      <c r="F117" s="25" t="s">
        <v>144</v>
      </c>
      <c r="G117" s="25">
        <v>8</v>
      </c>
      <c r="H117" s="25">
        <v>25070</v>
      </c>
      <c r="I117" s="25" t="s">
        <v>129</v>
      </c>
      <c r="J117" s="26">
        <v>45042</v>
      </c>
      <c r="K117" s="25">
        <v>200560</v>
      </c>
      <c r="L117" s="25">
        <v>5014</v>
      </c>
    </row>
    <row r="118" spans="1:12">
      <c r="A118" s="25">
        <v>1117</v>
      </c>
      <c r="B118" s="25" t="s">
        <v>135</v>
      </c>
      <c r="C118" s="25" t="s">
        <v>114</v>
      </c>
      <c r="D118" s="25" t="s">
        <v>138</v>
      </c>
      <c r="E118" s="25" t="s">
        <v>122</v>
      </c>
      <c r="F118" s="25" t="s">
        <v>140</v>
      </c>
      <c r="G118" s="25">
        <v>4</v>
      </c>
      <c r="H118" s="25">
        <v>5232</v>
      </c>
      <c r="I118" s="25" t="s">
        <v>124</v>
      </c>
      <c r="J118" s="26">
        <v>45043</v>
      </c>
      <c r="K118" s="25">
        <v>20928</v>
      </c>
      <c r="L118" s="25">
        <v>1046.4000000000001</v>
      </c>
    </row>
    <row r="119" spans="1:12">
      <c r="A119" s="25">
        <v>1118</v>
      </c>
      <c r="B119" s="25" t="s">
        <v>113</v>
      </c>
      <c r="C119" s="25" t="s">
        <v>133</v>
      </c>
      <c r="D119" s="25" t="s">
        <v>138</v>
      </c>
      <c r="E119" s="25" t="s">
        <v>122</v>
      </c>
      <c r="F119" s="25" t="s">
        <v>144</v>
      </c>
      <c r="G119" s="25">
        <v>4</v>
      </c>
      <c r="H119" s="25">
        <v>12122</v>
      </c>
      <c r="I119" s="25" t="s">
        <v>118</v>
      </c>
      <c r="J119" s="26">
        <v>45044</v>
      </c>
      <c r="K119" s="25">
        <v>48488</v>
      </c>
      <c r="L119" s="25">
        <v>2424.4</v>
      </c>
    </row>
    <row r="120" spans="1:12">
      <c r="A120" s="25">
        <v>1119</v>
      </c>
      <c r="B120" s="25" t="s">
        <v>113</v>
      </c>
      <c r="C120" s="25" t="s">
        <v>126</v>
      </c>
      <c r="D120" s="25" t="s">
        <v>121</v>
      </c>
      <c r="E120" s="25" t="s">
        <v>116</v>
      </c>
      <c r="F120" s="25" t="s">
        <v>140</v>
      </c>
      <c r="G120" s="25">
        <v>5</v>
      </c>
      <c r="H120" s="25">
        <v>16023</v>
      </c>
      <c r="I120" s="25" t="s">
        <v>118</v>
      </c>
      <c r="J120" s="26">
        <v>45045</v>
      </c>
      <c r="K120" s="25">
        <v>80115</v>
      </c>
      <c r="L120" s="25">
        <v>3204.6</v>
      </c>
    </row>
    <row r="121" spans="1:12">
      <c r="A121" s="25">
        <v>1120</v>
      </c>
      <c r="B121" s="25" t="s">
        <v>146</v>
      </c>
      <c r="C121" s="25" t="s">
        <v>120</v>
      </c>
      <c r="D121" s="25" t="s">
        <v>121</v>
      </c>
      <c r="E121" s="25" t="s">
        <v>116</v>
      </c>
      <c r="F121" s="25" t="s">
        <v>143</v>
      </c>
      <c r="G121" s="25">
        <v>8</v>
      </c>
      <c r="H121" s="25">
        <v>9007</v>
      </c>
      <c r="I121" s="25" t="s">
        <v>124</v>
      </c>
      <c r="J121" s="26">
        <v>45046</v>
      </c>
      <c r="K121" s="25">
        <v>72056</v>
      </c>
      <c r="L121" s="25">
        <v>1801.4</v>
      </c>
    </row>
    <row r="122" spans="1:12">
      <c r="A122" s="25">
        <v>1121</v>
      </c>
      <c r="B122" s="25" t="s">
        <v>135</v>
      </c>
      <c r="C122" s="25" t="s">
        <v>120</v>
      </c>
      <c r="D122" s="25" t="s">
        <v>121</v>
      </c>
      <c r="E122" s="25" t="s">
        <v>122</v>
      </c>
      <c r="F122" s="25" t="s">
        <v>144</v>
      </c>
      <c r="G122" s="25">
        <v>5</v>
      </c>
      <c r="H122" s="25">
        <v>18905</v>
      </c>
      <c r="I122" s="25" t="s">
        <v>118</v>
      </c>
      <c r="J122" s="26">
        <v>45047</v>
      </c>
      <c r="K122" s="25">
        <v>94525</v>
      </c>
      <c r="L122" s="25">
        <v>3781</v>
      </c>
    </row>
    <row r="123" spans="1:12">
      <c r="A123" s="25">
        <v>1122</v>
      </c>
      <c r="B123" s="25" t="s">
        <v>135</v>
      </c>
      <c r="C123" s="25" t="s">
        <v>139</v>
      </c>
      <c r="D123" s="25" t="s">
        <v>115</v>
      </c>
      <c r="E123" s="25" t="s">
        <v>116</v>
      </c>
      <c r="F123" s="25" t="s">
        <v>143</v>
      </c>
      <c r="G123" s="25">
        <v>8</v>
      </c>
      <c r="H123" s="25">
        <v>42786</v>
      </c>
      <c r="I123" s="25" t="s">
        <v>129</v>
      </c>
      <c r="J123" s="26">
        <v>45048</v>
      </c>
      <c r="K123" s="25">
        <v>342288</v>
      </c>
      <c r="L123" s="25">
        <v>8557.2000000000007</v>
      </c>
    </row>
    <row r="124" spans="1:12">
      <c r="A124" s="25">
        <v>1123</v>
      </c>
      <c r="B124" s="25" t="s">
        <v>136</v>
      </c>
      <c r="C124" s="25" t="s">
        <v>137</v>
      </c>
      <c r="D124" s="25" t="s">
        <v>134</v>
      </c>
      <c r="E124" s="25" t="s">
        <v>131</v>
      </c>
      <c r="F124" s="25" t="s">
        <v>123</v>
      </c>
      <c r="G124" s="25">
        <v>1</v>
      </c>
      <c r="H124" s="25">
        <v>30398</v>
      </c>
      <c r="I124" s="25" t="s">
        <v>129</v>
      </c>
      <c r="J124" s="26">
        <v>45049</v>
      </c>
      <c r="K124" s="25">
        <v>30398</v>
      </c>
      <c r="L124" s="25">
        <v>6079.6</v>
      </c>
    </row>
    <row r="125" spans="1:12">
      <c r="A125" s="25">
        <v>1124</v>
      </c>
      <c r="B125" s="25" t="s">
        <v>113</v>
      </c>
      <c r="C125" s="25" t="s">
        <v>114</v>
      </c>
      <c r="D125" s="25" t="s">
        <v>121</v>
      </c>
      <c r="E125" s="25" t="s">
        <v>131</v>
      </c>
      <c r="F125" s="25" t="s">
        <v>117</v>
      </c>
      <c r="G125" s="25">
        <v>9</v>
      </c>
      <c r="H125" s="25">
        <v>35268</v>
      </c>
      <c r="I125" s="25" t="s">
        <v>129</v>
      </c>
      <c r="J125" s="26">
        <v>45050</v>
      </c>
      <c r="K125" s="25">
        <v>317412</v>
      </c>
      <c r="L125" s="25">
        <v>7053.6</v>
      </c>
    </row>
    <row r="126" spans="1:12">
      <c r="A126" s="25">
        <v>1125</v>
      </c>
      <c r="B126" s="25" t="s">
        <v>145</v>
      </c>
      <c r="C126" s="25" t="s">
        <v>114</v>
      </c>
      <c r="D126" s="25" t="s">
        <v>134</v>
      </c>
      <c r="E126" s="25" t="s">
        <v>122</v>
      </c>
      <c r="F126" s="25" t="s">
        <v>140</v>
      </c>
      <c r="G126" s="25">
        <v>6</v>
      </c>
      <c r="H126" s="25">
        <v>7737</v>
      </c>
      <c r="I126" s="25" t="s">
        <v>124</v>
      </c>
      <c r="J126" s="26">
        <v>45051</v>
      </c>
      <c r="K126" s="25">
        <v>46422</v>
      </c>
      <c r="L126" s="25">
        <v>1547.4</v>
      </c>
    </row>
    <row r="127" spans="1:12">
      <c r="A127" s="25">
        <v>1126</v>
      </c>
      <c r="B127" s="25" t="s">
        <v>119</v>
      </c>
      <c r="C127" s="25" t="s">
        <v>126</v>
      </c>
      <c r="D127" s="25" t="s">
        <v>134</v>
      </c>
      <c r="E127" s="25" t="s">
        <v>127</v>
      </c>
      <c r="F127" s="25" t="s">
        <v>117</v>
      </c>
      <c r="G127" s="25">
        <v>3</v>
      </c>
      <c r="H127" s="25">
        <v>37062</v>
      </c>
      <c r="I127" s="25" t="s">
        <v>129</v>
      </c>
      <c r="J127" s="26">
        <v>45052</v>
      </c>
      <c r="K127" s="25">
        <v>111186</v>
      </c>
      <c r="L127" s="25">
        <v>7412.4</v>
      </c>
    </row>
    <row r="128" spans="1:12">
      <c r="A128" s="25">
        <v>1127</v>
      </c>
      <c r="B128" s="25" t="s">
        <v>119</v>
      </c>
      <c r="C128" s="25" t="s">
        <v>137</v>
      </c>
      <c r="D128" s="25" t="s">
        <v>138</v>
      </c>
      <c r="E128" s="25" t="s">
        <v>122</v>
      </c>
      <c r="F128" s="25" t="s">
        <v>143</v>
      </c>
      <c r="G128" s="25">
        <v>8</v>
      </c>
      <c r="H128" s="25">
        <v>26510</v>
      </c>
      <c r="I128" s="25" t="s">
        <v>129</v>
      </c>
      <c r="J128" s="26">
        <v>45053</v>
      </c>
      <c r="K128" s="25">
        <v>212080</v>
      </c>
      <c r="L128" s="25">
        <v>5302</v>
      </c>
    </row>
    <row r="129" spans="1:12">
      <c r="A129" s="25">
        <v>1128</v>
      </c>
      <c r="B129" s="25" t="s">
        <v>130</v>
      </c>
      <c r="C129" s="25" t="s">
        <v>137</v>
      </c>
      <c r="D129" s="25" t="s">
        <v>115</v>
      </c>
      <c r="E129" s="25" t="s">
        <v>122</v>
      </c>
      <c r="F129" s="25" t="s">
        <v>140</v>
      </c>
      <c r="G129" s="25">
        <v>9</v>
      </c>
      <c r="H129" s="25">
        <v>20426</v>
      </c>
      <c r="I129" s="25" t="s">
        <v>118</v>
      </c>
      <c r="J129" s="26">
        <v>45054</v>
      </c>
      <c r="K129" s="25">
        <v>183834</v>
      </c>
      <c r="L129" s="25">
        <v>4085.2</v>
      </c>
    </row>
    <row r="130" spans="1:12">
      <c r="A130" s="25">
        <v>1129</v>
      </c>
      <c r="B130" s="25" t="s">
        <v>113</v>
      </c>
      <c r="C130" s="25" t="s">
        <v>114</v>
      </c>
      <c r="D130" s="25" t="s">
        <v>121</v>
      </c>
      <c r="E130" s="25" t="s">
        <v>127</v>
      </c>
      <c r="F130" s="25" t="s">
        <v>117</v>
      </c>
      <c r="G130" s="25">
        <v>6</v>
      </c>
      <c r="H130" s="25">
        <v>38265</v>
      </c>
      <c r="I130" s="25" t="s">
        <v>129</v>
      </c>
      <c r="J130" s="26">
        <v>45055</v>
      </c>
      <c r="K130" s="25">
        <v>229590</v>
      </c>
      <c r="L130" s="25">
        <v>7653</v>
      </c>
    </row>
    <row r="131" spans="1:12">
      <c r="A131" s="25">
        <v>1130</v>
      </c>
      <c r="B131" s="25" t="s">
        <v>113</v>
      </c>
      <c r="C131" s="25" t="s">
        <v>120</v>
      </c>
      <c r="D131" s="25" t="s">
        <v>138</v>
      </c>
      <c r="E131" s="25" t="s">
        <v>127</v>
      </c>
      <c r="F131" s="25" t="s">
        <v>144</v>
      </c>
      <c r="G131" s="25">
        <v>7</v>
      </c>
      <c r="H131" s="25">
        <v>18850</v>
      </c>
      <c r="I131" s="25" t="s">
        <v>118</v>
      </c>
      <c r="J131" s="26">
        <v>45056</v>
      </c>
      <c r="K131" s="25">
        <v>131950</v>
      </c>
      <c r="L131" s="25">
        <v>3770</v>
      </c>
    </row>
    <row r="132" spans="1:12">
      <c r="A132" s="25">
        <v>1131</v>
      </c>
      <c r="B132" s="25" t="s">
        <v>119</v>
      </c>
      <c r="C132" s="25" t="s">
        <v>114</v>
      </c>
      <c r="D132" s="25" t="s">
        <v>138</v>
      </c>
      <c r="E132" s="25" t="s">
        <v>127</v>
      </c>
      <c r="F132" s="25" t="s">
        <v>141</v>
      </c>
      <c r="G132" s="25">
        <v>1</v>
      </c>
      <c r="H132" s="25">
        <v>1614</v>
      </c>
      <c r="I132" s="25" t="s">
        <v>124</v>
      </c>
      <c r="J132" s="26">
        <v>45057</v>
      </c>
      <c r="K132" s="25">
        <v>1614</v>
      </c>
      <c r="L132" s="25">
        <v>322.8</v>
      </c>
    </row>
    <row r="133" spans="1:12">
      <c r="A133" s="25">
        <v>1132</v>
      </c>
      <c r="B133" s="25" t="s">
        <v>113</v>
      </c>
      <c r="C133" s="25" t="s">
        <v>114</v>
      </c>
      <c r="D133" s="25" t="s">
        <v>121</v>
      </c>
      <c r="E133" s="25" t="s">
        <v>131</v>
      </c>
      <c r="F133" s="25" t="s">
        <v>143</v>
      </c>
      <c r="G133" s="25">
        <v>5</v>
      </c>
      <c r="H133" s="25">
        <v>22776</v>
      </c>
      <c r="I133" s="25" t="s">
        <v>118</v>
      </c>
      <c r="J133" s="26">
        <v>45058</v>
      </c>
      <c r="K133" s="25">
        <v>113880</v>
      </c>
      <c r="L133" s="25">
        <v>4555.2</v>
      </c>
    </row>
    <row r="134" spans="1:12">
      <c r="A134" s="25">
        <v>1133</v>
      </c>
      <c r="B134" s="25" t="s">
        <v>136</v>
      </c>
      <c r="C134" s="25" t="s">
        <v>137</v>
      </c>
      <c r="D134" s="25" t="s">
        <v>134</v>
      </c>
      <c r="E134" s="25" t="s">
        <v>116</v>
      </c>
      <c r="F134" s="25" t="s">
        <v>117</v>
      </c>
      <c r="G134" s="25">
        <v>5</v>
      </c>
      <c r="H134" s="25">
        <v>25077</v>
      </c>
      <c r="I134" s="25" t="s">
        <v>129</v>
      </c>
      <c r="J134" s="26">
        <v>45059</v>
      </c>
      <c r="K134" s="25">
        <v>125385</v>
      </c>
      <c r="L134" s="25">
        <v>5015.3999999999996</v>
      </c>
    </row>
    <row r="135" spans="1:12">
      <c r="A135" s="25">
        <v>1134</v>
      </c>
      <c r="B135" s="25" t="s">
        <v>142</v>
      </c>
      <c r="C135" s="25" t="s">
        <v>126</v>
      </c>
      <c r="D135" s="25" t="s">
        <v>138</v>
      </c>
      <c r="E135" s="25" t="s">
        <v>131</v>
      </c>
      <c r="F135" s="25" t="s">
        <v>143</v>
      </c>
      <c r="G135" s="25">
        <v>4</v>
      </c>
      <c r="H135" s="25">
        <v>10374</v>
      </c>
      <c r="I135" s="25" t="s">
        <v>118</v>
      </c>
      <c r="J135" s="26">
        <v>45060</v>
      </c>
      <c r="K135" s="25">
        <v>41496</v>
      </c>
      <c r="L135" s="25">
        <v>2074.8000000000002</v>
      </c>
    </row>
    <row r="136" spans="1:12">
      <c r="A136" s="25">
        <v>1135</v>
      </c>
      <c r="B136" s="25" t="s">
        <v>14</v>
      </c>
      <c r="C136" s="25" t="s">
        <v>137</v>
      </c>
      <c r="D136" s="25" t="s">
        <v>134</v>
      </c>
      <c r="E136" s="25" t="s">
        <v>116</v>
      </c>
      <c r="F136" s="25" t="s">
        <v>128</v>
      </c>
      <c r="G136" s="25">
        <v>6</v>
      </c>
      <c r="H136" s="25">
        <v>36435</v>
      </c>
      <c r="I136" s="25" t="s">
        <v>129</v>
      </c>
      <c r="J136" s="26">
        <v>45061</v>
      </c>
      <c r="K136" s="25">
        <v>218610</v>
      </c>
      <c r="L136" s="25">
        <v>7287</v>
      </c>
    </row>
    <row r="137" spans="1:12">
      <c r="A137" s="25">
        <v>1136</v>
      </c>
      <c r="B137" s="25" t="s">
        <v>135</v>
      </c>
      <c r="C137" s="25" t="s">
        <v>120</v>
      </c>
      <c r="D137" s="25" t="s">
        <v>115</v>
      </c>
      <c r="E137" s="25" t="s">
        <v>131</v>
      </c>
      <c r="F137" s="25" t="s">
        <v>143</v>
      </c>
      <c r="G137" s="25">
        <v>7</v>
      </c>
      <c r="H137" s="25">
        <v>31907</v>
      </c>
      <c r="I137" s="25" t="s">
        <v>129</v>
      </c>
      <c r="J137" s="26">
        <v>45062</v>
      </c>
      <c r="K137" s="25">
        <v>223349</v>
      </c>
      <c r="L137" s="25">
        <v>6381.4</v>
      </c>
    </row>
    <row r="138" spans="1:12">
      <c r="A138" s="25">
        <v>1137</v>
      </c>
      <c r="B138" s="25" t="s">
        <v>146</v>
      </c>
      <c r="C138" s="25" t="s">
        <v>120</v>
      </c>
      <c r="D138" s="25" t="s">
        <v>134</v>
      </c>
      <c r="E138" s="25" t="s">
        <v>116</v>
      </c>
      <c r="F138" s="25" t="s">
        <v>140</v>
      </c>
      <c r="G138" s="25">
        <v>9</v>
      </c>
      <c r="H138" s="25">
        <v>14409</v>
      </c>
      <c r="I138" s="25" t="s">
        <v>118</v>
      </c>
      <c r="J138" s="26">
        <v>45063</v>
      </c>
      <c r="K138" s="25">
        <v>129681</v>
      </c>
      <c r="L138" s="25">
        <v>2881.8</v>
      </c>
    </row>
    <row r="139" spans="1:12">
      <c r="A139" s="25">
        <v>1138</v>
      </c>
      <c r="B139" s="25" t="s">
        <v>130</v>
      </c>
      <c r="C139" s="25" t="s">
        <v>133</v>
      </c>
      <c r="D139" s="25" t="s">
        <v>115</v>
      </c>
      <c r="E139" s="25" t="s">
        <v>131</v>
      </c>
      <c r="F139" s="25" t="s">
        <v>128</v>
      </c>
      <c r="G139" s="25">
        <v>1</v>
      </c>
      <c r="H139" s="25">
        <v>17514</v>
      </c>
      <c r="I139" s="25" t="s">
        <v>118</v>
      </c>
      <c r="J139" s="26">
        <v>45064</v>
      </c>
      <c r="K139" s="25">
        <v>17514</v>
      </c>
      <c r="L139" s="25">
        <v>3502.8</v>
      </c>
    </row>
    <row r="140" spans="1:12">
      <c r="A140" s="25">
        <v>1139</v>
      </c>
      <c r="B140" s="25" t="s">
        <v>142</v>
      </c>
      <c r="C140" s="25" t="s">
        <v>139</v>
      </c>
      <c r="D140" s="25" t="s">
        <v>134</v>
      </c>
      <c r="E140" s="25" t="s">
        <v>127</v>
      </c>
      <c r="F140" s="25" t="s">
        <v>132</v>
      </c>
      <c r="G140" s="25">
        <v>6</v>
      </c>
      <c r="H140" s="25">
        <v>30866</v>
      </c>
      <c r="I140" s="25" t="s">
        <v>129</v>
      </c>
      <c r="J140" s="26">
        <v>45065</v>
      </c>
      <c r="K140" s="25">
        <v>185196</v>
      </c>
      <c r="L140" s="25">
        <v>6173.2</v>
      </c>
    </row>
    <row r="141" spans="1:12">
      <c r="A141" s="25">
        <v>1140</v>
      </c>
      <c r="B141" s="25" t="s">
        <v>119</v>
      </c>
      <c r="C141" s="25" t="s">
        <v>126</v>
      </c>
      <c r="D141" s="25" t="s">
        <v>138</v>
      </c>
      <c r="E141" s="25" t="s">
        <v>122</v>
      </c>
      <c r="F141" s="25" t="s">
        <v>140</v>
      </c>
      <c r="G141" s="25">
        <v>7</v>
      </c>
      <c r="H141" s="25">
        <v>3983</v>
      </c>
      <c r="I141" s="25" t="s">
        <v>124</v>
      </c>
      <c r="J141" s="26">
        <v>45066</v>
      </c>
      <c r="K141" s="25">
        <v>27881</v>
      </c>
      <c r="L141" s="25">
        <v>796.6</v>
      </c>
    </row>
    <row r="142" spans="1:12">
      <c r="A142" s="25">
        <v>1141</v>
      </c>
      <c r="B142" s="25" t="s">
        <v>135</v>
      </c>
      <c r="C142" s="25" t="s">
        <v>114</v>
      </c>
      <c r="D142" s="25" t="s">
        <v>138</v>
      </c>
      <c r="E142" s="25" t="s">
        <v>131</v>
      </c>
      <c r="F142" s="25" t="s">
        <v>141</v>
      </c>
      <c r="G142" s="25">
        <v>3</v>
      </c>
      <c r="H142" s="25">
        <v>32705</v>
      </c>
      <c r="I142" s="25" t="s">
        <v>129</v>
      </c>
      <c r="J142" s="26">
        <v>45067</v>
      </c>
      <c r="K142" s="25">
        <v>98115</v>
      </c>
      <c r="L142" s="25">
        <v>6541</v>
      </c>
    </row>
    <row r="143" spans="1:12">
      <c r="A143" s="25">
        <v>1142</v>
      </c>
      <c r="B143" s="25" t="s">
        <v>113</v>
      </c>
      <c r="C143" s="25" t="s">
        <v>137</v>
      </c>
      <c r="D143" s="25" t="s">
        <v>115</v>
      </c>
      <c r="E143" s="25" t="s">
        <v>116</v>
      </c>
      <c r="F143" s="25" t="s">
        <v>128</v>
      </c>
      <c r="G143" s="25">
        <v>8</v>
      </c>
      <c r="H143" s="25">
        <v>21662</v>
      </c>
      <c r="I143" s="25" t="s">
        <v>118</v>
      </c>
      <c r="J143" s="26">
        <v>45068</v>
      </c>
      <c r="K143" s="25">
        <v>173296</v>
      </c>
      <c r="L143" s="25">
        <v>4332.3999999999996</v>
      </c>
    </row>
    <row r="144" spans="1:12">
      <c r="A144" s="25">
        <v>1143</v>
      </c>
      <c r="B144" s="25" t="s">
        <v>146</v>
      </c>
      <c r="C144" s="25" t="s">
        <v>133</v>
      </c>
      <c r="D144" s="25" t="s">
        <v>121</v>
      </c>
      <c r="E144" s="25" t="s">
        <v>127</v>
      </c>
      <c r="F144" s="25" t="s">
        <v>132</v>
      </c>
      <c r="G144" s="25">
        <v>5</v>
      </c>
      <c r="H144" s="25">
        <v>24510</v>
      </c>
      <c r="I144" s="25" t="s">
        <v>118</v>
      </c>
      <c r="J144" s="26">
        <v>45069</v>
      </c>
      <c r="K144" s="25">
        <v>122550</v>
      </c>
      <c r="L144" s="25">
        <v>4902</v>
      </c>
    </row>
    <row r="145" spans="1:12">
      <c r="A145" s="25">
        <v>1144</v>
      </c>
      <c r="B145" s="25" t="s">
        <v>113</v>
      </c>
      <c r="C145" s="25" t="s">
        <v>137</v>
      </c>
      <c r="D145" s="25" t="s">
        <v>115</v>
      </c>
      <c r="E145" s="25" t="s">
        <v>131</v>
      </c>
      <c r="F145" s="25" t="s">
        <v>144</v>
      </c>
      <c r="G145" s="25">
        <v>9</v>
      </c>
      <c r="H145" s="25">
        <v>13651</v>
      </c>
      <c r="I145" s="25" t="s">
        <v>118</v>
      </c>
      <c r="J145" s="26">
        <v>45070</v>
      </c>
      <c r="K145" s="25">
        <v>122859</v>
      </c>
      <c r="L145" s="25">
        <v>2730.2</v>
      </c>
    </row>
    <row r="146" spans="1:12">
      <c r="A146" s="25">
        <v>1145</v>
      </c>
      <c r="B146" s="25" t="s">
        <v>145</v>
      </c>
      <c r="C146" s="25" t="s">
        <v>114</v>
      </c>
      <c r="D146" s="25" t="s">
        <v>115</v>
      </c>
      <c r="E146" s="25" t="s">
        <v>131</v>
      </c>
      <c r="F146" s="25" t="s">
        <v>143</v>
      </c>
      <c r="G146" s="25">
        <v>5</v>
      </c>
      <c r="H146" s="25">
        <v>41998</v>
      </c>
      <c r="I146" s="25" t="s">
        <v>129</v>
      </c>
      <c r="J146" s="26">
        <v>45071</v>
      </c>
      <c r="K146" s="25">
        <v>209990</v>
      </c>
      <c r="L146" s="25">
        <v>8399.6</v>
      </c>
    </row>
    <row r="147" spans="1:12">
      <c r="A147" s="25">
        <v>1146</v>
      </c>
      <c r="B147" s="25" t="s">
        <v>145</v>
      </c>
      <c r="C147" s="25" t="s">
        <v>137</v>
      </c>
      <c r="D147" s="25" t="s">
        <v>134</v>
      </c>
      <c r="E147" s="25" t="s">
        <v>127</v>
      </c>
      <c r="F147" s="25" t="s">
        <v>117</v>
      </c>
      <c r="G147" s="25">
        <v>9</v>
      </c>
      <c r="H147" s="25">
        <v>29535</v>
      </c>
      <c r="I147" s="25" t="s">
        <v>129</v>
      </c>
      <c r="J147" s="26">
        <v>45072</v>
      </c>
      <c r="K147" s="25">
        <v>265815</v>
      </c>
      <c r="L147" s="25">
        <v>5907</v>
      </c>
    </row>
    <row r="148" spans="1:12">
      <c r="A148" s="25">
        <v>1147</v>
      </c>
      <c r="B148" s="25" t="s">
        <v>146</v>
      </c>
      <c r="C148" s="25" t="s">
        <v>139</v>
      </c>
      <c r="D148" s="25" t="s">
        <v>134</v>
      </c>
      <c r="E148" s="25" t="s">
        <v>131</v>
      </c>
      <c r="F148" s="25" t="s">
        <v>123</v>
      </c>
      <c r="G148" s="25">
        <v>4</v>
      </c>
      <c r="H148" s="25">
        <v>7640</v>
      </c>
      <c r="I148" s="25" t="s">
        <v>124</v>
      </c>
      <c r="J148" s="26">
        <v>45073</v>
      </c>
      <c r="K148" s="25">
        <v>30560</v>
      </c>
      <c r="L148" s="25">
        <v>1528</v>
      </c>
    </row>
    <row r="149" spans="1:12">
      <c r="A149" s="25">
        <v>1148</v>
      </c>
      <c r="B149" s="25" t="s">
        <v>146</v>
      </c>
      <c r="C149" s="25" t="s">
        <v>133</v>
      </c>
      <c r="D149" s="25" t="s">
        <v>115</v>
      </c>
      <c r="E149" s="25" t="s">
        <v>122</v>
      </c>
      <c r="F149" s="25" t="s">
        <v>143</v>
      </c>
      <c r="G149" s="25">
        <v>9</v>
      </c>
      <c r="H149" s="25">
        <v>45547</v>
      </c>
      <c r="I149" s="25" t="s">
        <v>129</v>
      </c>
      <c r="J149" s="26">
        <v>45074</v>
      </c>
      <c r="K149" s="25">
        <v>409923</v>
      </c>
      <c r="L149" s="25">
        <v>9109.4</v>
      </c>
    </row>
    <row r="150" spans="1:12">
      <c r="A150" s="25">
        <v>1149</v>
      </c>
      <c r="B150" s="25" t="s">
        <v>119</v>
      </c>
      <c r="C150" s="25" t="s">
        <v>120</v>
      </c>
      <c r="D150" s="25" t="s">
        <v>138</v>
      </c>
      <c r="E150" s="25" t="s">
        <v>131</v>
      </c>
      <c r="F150" s="25" t="s">
        <v>132</v>
      </c>
      <c r="G150" s="25">
        <v>5</v>
      </c>
      <c r="H150" s="25">
        <v>16317</v>
      </c>
      <c r="I150" s="25" t="s">
        <v>118</v>
      </c>
      <c r="J150" s="26">
        <v>45075</v>
      </c>
      <c r="K150" s="25">
        <v>81585</v>
      </c>
      <c r="L150" s="25">
        <v>3263.4</v>
      </c>
    </row>
    <row r="151" spans="1:12">
      <c r="A151" s="25">
        <v>1150</v>
      </c>
      <c r="B151" s="25" t="s">
        <v>146</v>
      </c>
      <c r="C151" s="25" t="s">
        <v>114</v>
      </c>
      <c r="D151" s="25" t="s">
        <v>134</v>
      </c>
      <c r="E151" s="25" t="s">
        <v>122</v>
      </c>
      <c r="F151" s="25" t="s">
        <v>143</v>
      </c>
      <c r="G151" s="25">
        <v>9</v>
      </c>
      <c r="H151" s="25">
        <v>8564</v>
      </c>
      <c r="I151" s="25" t="s">
        <v>124</v>
      </c>
      <c r="J151" s="26">
        <v>45076</v>
      </c>
      <c r="K151" s="25">
        <v>77076</v>
      </c>
      <c r="L151" s="25">
        <v>1712.8</v>
      </c>
    </row>
    <row r="152" spans="1:12">
      <c r="A152" s="25">
        <v>1151</v>
      </c>
      <c r="B152" s="25" t="s">
        <v>136</v>
      </c>
      <c r="C152" s="25" t="s">
        <v>139</v>
      </c>
      <c r="D152" s="25" t="s">
        <v>121</v>
      </c>
      <c r="E152" s="25" t="s">
        <v>122</v>
      </c>
      <c r="F152" s="25" t="s">
        <v>141</v>
      </c>
      <c r="G152" s="25">
        <v>3</v>
      </c>
      <c r="H152" s="25">
        <v>28345</v>
      </c>
      <c r="I152" s="25" t="s">
        <v>129</v>
      </c>
      <c r="J152" s="26">
        <v>45077</v>
      </c>
      <c r="K152" s="25">
        <v>85035</v>
      </c>
      <c r="L152" s="25">
        <v>5669</v>
      </c>
    </row>
    <row r="153" spans="1:12">
      <c r="A153" s="25">
        <v>1152</v>
      </c>
      <c r="B153" s="25" t="s">
        <v>113</v>
      </c>
      <c r="C153" s="25" t="s">
        <v>126</v>
      </c>
      <c r="D153" s="25" t="s">
        <v>134</v>
      </c>
      <c r="E153" s="25" t="s">
        <v>127</v>
      </c>
      <c r="F153" s="25" t="s">
        <v>144</v>
      </c>
      <c r="G153" s="25">
        <v>4</v>
      </c>
      <c r="H153" s="25">
        <v>49288</v>
      </c>
      <c r="I153" s="25" t="s">
        <v>129</v>
      </c>
      <c r="J153" s="26">
        <v>45078</v>
      </c>
      <c r="K153" s="25">
        <v>197152</v>
      </c>
      <c r="L153" s="25">
        <v>9857.6</v>
      </c>
    </row>
    <row r="154" spans="1:12">
      <c r="A154" s="25">
        <v>1153</v>
      </c>
      <c r="B154" s="25" t="s">
        <v>142</v>
      </c>
      <c r="C154" s="25" t="s">
        <v>139</v>
      </c>
      <c r="D154" s="25" t="s">
        <v>134</v>
      </c>
      <c r="E154" s="25" t="s">
        <v>131</v>
      </c>
      <c r="F154" s="25" t="s">
        <v>123</v>
      </c>
      <c r="G154" s="25">
        <v>9</v>
      </c>
      <c r="H154" s="25">
        <v>29687</v>
      </c>
      <c r="I154" s="25" t="s">
        <v>129</v>
      </c>
      <c r="J154" s="26">
        <v>45079</v>
      </c>
      <c r="K154" s="25">
        <v>267183</v>
      </c>
      <c r="L154" s="25">
        <v>5937.4</v>
      </c>
    </row>
    <row r="155" spans="1:12">
      <c r="A155" s="25">
        <v>1154</v>
      </c>
      <c r="B155" s="25" t="s">
        <v>125</v>
      </c>
      <c r="C155" s="25" t="s">
        <v>114</v>
      </c>
      <c r="D155" s="25" t="s">
        <v>121</v>
      </c>
      <c r="E155" s="25" t="s">
        <v>127</v>
      </c>
      <c r="F155" s="25" t="s">
        <v>128</v>
      </c>
      <c r="G155" s="25">
        <v>6</v>
      </c>
      <c r="H155" s="25">
        <v>14737</v>
      </c>
      <c r="I155" s="25" t="s">
        <v>118</v>
      </c>
      <c r="J155" s="26">
        <v>45080</v>
      </c>
      <c r="K155" s="25">
        <v>88422</v>
      </c>
      <c r="L155" s="25">
        <v>2947.4</v>
      </c>
    </row>
    <row r="156" spans="1:12">
      <c r="A156" s="25">
        <v>1155</v>
      </c>
      <c r="B156" s="25" t="s">
        <v>146</v>
      </c>
      <c r="C156" s="25" t="s">
        <v>137</v>
      </c>
      <c r="D156" s="25" t="s">
        <v>115</v>
      </c>
      <c r="E156" s="25" t="s">
        <v>131</v>
      </c>
      <c r="F156" s="25" t="s">
        <v>128</v>
      </c>
      <c r="G156" s="25">
        <v>2</v>
      </c>
      <c r="H156" s="25">
        <v>10323</v>
      </c>
      <c r="I156" s="25" t="s">
        <v>118</v>
      </c>
      <c r="J156" s="26">
        <v>45081</v>
      </c>
      <c r="K156" s="25">
        <v>20646</v>
      </c>
      <c r="L156" s="25">
        <v>2064.6</v>
      </c>
    </row>
    <row r="157" spans="1:12">
      <c r="A157" s="25">
        <v>1156</v>
      </c>
      <c r="B157" s="25" t="s">
        <v>130</v>
      </c>
      <c r="C157" s="25" t="s">
        <v>126</v>
      </c>
      <c r="D157" s="25" t="s">
        <v>121</v>
      </c>
      <c r="E157" s="25" t="s">
        <v>131</v>
      </c>
      <c r="F157" s="25" t="s">
        <v>128</v>
      </c>
      <c r="G157" s="25">
        <v>7</v>
      </c>
      <c r="H157" s="25">
        <v>16229</v>
      </c>
      <c r="I157" s="25" t="s">
        <v>118</v>
      </c>
      <c r="J157" s="26">
        <v>45082</v>
      </c>
      <c r="K157" s="25">
        <v>113603</v>
      </c>
      <c r="L157" s="25">
        <v>3245.8</v>
      </c>
    </row>
    <row r="158" spans="1:12">
      <c r="A158" s="25">
        <v>1157</v>
      </c>
      <c r="B158" s="25" t="s">
        <v>145</v>
      </c>
      <c r="C158" s="25" t="s">
        <v>120</v>
      </c>
      <c r="D158" s="25" t="s">
        <v>115</v>
      </c>
      <c r="E158" s="25" t="s">
        <v>116</v>
      </c>
      <c r="F158" s="25" t="s">
        <v>132</v>
      </c>
      <c r="G158" s="25">
        <v>2</v>
      </c>
      <c r="H158" s="25">
        <v>45481</v>
      </c>
      <c r="I158" s="25" t="s">
        <v>129</v>
      </c>
      <c r="J158" s="26">
        <v>45083</v>
      </c>
      <c r="K158" s="25">
        <v>90962</v>
      </c>
      <c r="L158" s="25">
        <v>9096.2000000000007</v>
      </c>
    </row>
    <row r="159" spans="1:12">
      <c r="A159" s="25">
        <v>1158</v>
      </c>
      <c r="B159" s="25" t="s">
        <v>136</v>
      </c>
      <c r="C159" s="25" t="s">
        <v>114</v>
      </c>
      <c r="D159" s="25" t="s">
        <v>115</v>
      </c>
      <c r="E159" s="25" t="s">
        <v>131</v>
      </c>
      <c r="F159" s="25" t="s">
        <v>140</v>
      </c>
      <c r="G159" s="25">
        <v>2</v>
      </c>
      <c r="H159" s="25">
        <v>9502</v>
      </c>
      <c r="I159" s="25" t="s">
        <v>124</v>
      </c>
      <c r="J159" s="26">
        <v>45084</v>
      </c>
      <c r="K159" s="25">
        <v>19004</v>
      </c>
      <c r="L159" s="25">
        <v>1900.4</v>
      </c>
    </row>
    <row r="160" spans="1:12">
      <c r="A160" s="25">
        <v>1159</v>
      </c>
      <c r="B160" s="25" t="s">
        <v>135</v>
      </c>
      <c r="C160" s="25" t="s">
        <v>126</v>
      </c>
      <c r="D160" s="25" t="s">
        <v>115</v>
      </c>
      <c r="E160" s="25" t="s">
        <v>127</v>
      </c>
      <c r="F160" s="25" t="s">
        <v>140</v>
      </c>
      <c r="G160" s="25">
        <v>1</v>
      </c>
      <c r="H160" s="25">
        <v>1545</v>
      </c>
      <c r="I160" s="25" t="s">
        <v>124</v>
      </c>
      <c r="J160" s="26">
        <v>45085</v>
      </c>
      <c r="K160" s="25">
        <v>1545</v>
      </c>
      <c r="L160" s="25">
        <v>309</v>
      </c>
    </row>
    <row r="161" spans="1:12">
      <c r="A161" s="25">
        <v>1160</v>
      </c>
      <c r="B161" s="25" t="s">
        <v>125</v>
      </c>
      <c r="C161" s="25" t="s">
        <v>120</v>
      </c>
      <c r="D161" s="25" t="s">
        <v>121</v>
      </c>
      <c r="E161" s="25" t="s">
        <v>122</v>
      </c>
      <c r="F161" s="25" t="s">
        <v>117</v>
      </c>
      <c r="G161" s="25">
        <v>3</v>
      </c>
      <c r="H161" s="25">
        <v>38114</v>
      </c>
      <c r="I161" s="25" t="s">
        <v>129</v>
      </c>
      <c r="J161" s="26">
        <v>45086</v>
      </c>
      <c r="K161" s="25">
        <v>114342</v>
      </c>
      <c r="L161" s="25">
        <v>7622.8</v>
      </c>
    </row>
    <row r="162" spans="1:12">
      <c r="A162" s="25">
        <v>1161</v>
      </c>
      <c r="B162" s="25" t="s">
        <v>142</v>
      </c>
      <c r="C162" s="25" t="s">
        <v>139</v>
      </c>
      <c r="D162" s="25" t="s">
        <v>115</v>
      </c>
      <c r="E162" s="25" t="s">
        <v>131</v>
      </c>
      <c r="F162" s="25" t="s">
        <v>123</v>
      </c>
      <c r="G162" s="25">
        <v>6</v>
      </c>
      <c r="H162" s="25">
        <v>30430</v>
      </c>
      <c r="I162" s="25" t="s">
        <v>129</v>
      </c>
      <c r="J162" s="26">
        <v>45087</v>
      </c>
      <c r="K162" s="25">
        <v>182580</v>
      </c>
      <c r="L162" s="25">
        <v>6086</v>
      </c>
    </row>
    <row r="163" spans="1:12">
      <c r="A163" s="25">
        <v>1162</v>
      </c>
      <c r="B163" s="25" t="s">
        <v>125</v>
      </c>
      <c r="C163" s="25" t="s">
        <v>137</v>
      </c>
      <c r="D163" s="25" t="s">
        <v>138</v>
      </c>
      <c r="E163" s="25" t="s">
        <v>116</v>
      </c>
      <c r="F163" s="25" t="s">
        <v>128</v>
      </c>
      <c r="G163" s="25">
        <v>8</v>
      </c>
      <c r="H163" s="25">
        <v>10996</v>
      </c>
      <c r="I163" s="25" t="s">
        <v>118</v>
      </c>
      <c r="J163" s="26">
        <v>45088</v>
      </c>
      <c r="K163" s="25">
        <v>87968</v>
      </c>
      <c r="L163" s="25">
        <v>2199.1999999999998</v>
      </c>
    </row>
    <row r="164" spans="1:12">
      <c r="A164" s="25">
        <v>1163</v>
      </c>
      <c r="B164" s="25" t="s">
        <v>146</v>
      </c>
      <c r="C164" s="25" t="s">
        <v>137</v>
      </c>
      <c r="D164" s="25" t="s">
        <v>121</v>
      </c>
      <c r="E164" s="25" t="s">
        <v>127</v>
      </c>
      <c r="F164" s="25" t="s">
        <v>140</v>
      </c>
      <c r="G164" s="25">
        <v>9</v>
      </c>
      <c r="H164" s="25">
        <v>28788</v>
      </c>
      <c r="I164" s="25" t="s">
        <v>129</v>
      </c>
      <c r="J164" s="26">
        <v>45089</v>
      </c>
      <c r="K164" s="25">
        <v>259092</v>
      </c>
      <c r="L164" s="25">
        <v>5757.6</v>
      </c>
    </row>
    <row r="165" spans="1:12">
      <c r="A165" s="25">
        <v>1164</v>
      </c>
      <c r="B165" s="25" t="s">
        <v>119</v>
      </c>
      <c r="C165" s="25" t="s">
        <v>120</v>
      </c>
      <c r="D165" s="25" t="s">
        <v>138</v>
      </c>
      <c r="E165" s="25" t="s">
        <v>131</v>
      </c>
      <c r="F165" s="25" t="s">
        <v>132</v>
      </c>
      <c r="G165" s="25">
        <v>7</v>
      </c>
      <c r="H165" s="25">
        <v>30969</v>
      </c>
      <c r="I165" s="25" t="s">
        <v>129</v>
      </c>
      <c r="J165" s="26">
        <v>45090</v>
      </c>
      <c r="K165" s="25">
        <v>216783</v>
      </c>
      <c r="L165" s="25">
        <v>6193.8</v>
      </c>
    </row>
    <row r="166" spans="1:12">
      <c r="A166" s="25">
        <v>1165</v>
      </c>
      <c r="B166" s="25" t="s">
        <v>145</v>
      </c>
      <c r="C166" s="25" t="s">
        <v>126</v>
      </c>
      <c r="D166" s="25" t="s">
        <v>115</v>
      </c>
      <c r="E166" s="25" t="s">
        <v>127</v>
      </c>
      <c r="F166" s="25" t="s">
        <v>117</v>
      </c>
      <c r="G166" s="25">
        <v>4</v>
      </c>
      <c r="H166" s="25">
        <v>49543</v>
      </c>
      <c r="I166" s="25" t="s">
        <v>129</v>
      </c>
      <c r="J166" s="26">
        <v>45091</v>
      </c>
      <c r="K166" s="25">
        <v>198172</v>
      </c>
      <c r="L166" s="25">
        <v>9908.6</v>
      </c>
    </row>
    <row r="167" spans="1:12">
      <c r="A167" s="25">
        <v>1166</v>
      </c>
      <c r="B167" s="25" t="s">
        <v>145</v>
      </c>
      <c r="C167" s="25" t="s">
        <v>137</v>
      </c>
      <c r="D167" s="25" t="s">
        <v>134</v>
      </c>
      <c r="E167" s="25" t="s">
        <v>116</v>
      </c>
      <c r="F167" s="25" t="s">
        <v>144</v>
      </c>
      <c r="G167" s="25">
        <v>6</v>
      </c>
      <c r="H167" s="25">
        <v>14919</v>
      </c>
      <c r="I167" s="25" t="s">
        <v>118</v>
      </c>
      <c r="J167" s="26">
        <v>45092</v>
      </c>
      <c r="K167" s="25">
        <v>89514</v>
      </c>
      <c r="L167" s="25">
        <v>2983.8</v>
      </c>
    </row>
    <row r="168" spans="1:12">
      <c r="A168" s="25">
        <v>1167</v>
      </c>
      <c r="B168" s="25" t="s">
        <v>135</v>
      </c>
      <c r="C168" s="25" t="s">
        <v>139</v>
      </c>
      <c r="D168" s="25" t="s">
        <v>115</v>
      </c>
      <c r="E168" s="25" t="s">
        <v>116</v>
      </c>
      <c r="F168" s="25" t="s">
        <v>117</v>
      </c>
      <c r="G168" s="25">
        <v>5</v>
      </c>
      <c r="H168" s="25">
        <v>4810</v>
      </c>
      <c r="I168" s="25" t="s">
        <v>124</v>
      </c>
      <c r="J168" s="26">
        <v>45093</v>
      </c>
      <c r="K168" s="25">
        <v>24050</v>
      </c>
      <c r="L168" s="25">
        <v>962</v>
      </c>
    </row>
    <row r="169" spans="1:12">
      <c r="A169" s="25">
        <v>1168</v>
      </c>
      <c r="B169" s="25" t="s">
        <v>119</v>
      </c>
      <c r="C169" s="25" t="s">
        <v>120</v>
      </c>
      <c r="D169" s="25" t="s">
        <v>138</v>
      </c>
      <c r="E169" s="25" t="s">
        <v>127</v>
      </c>
      <c r="F169" s="25" t="s">
        <v>140</v>
      </c>
      <c r="G169" s="25">
        <v>8</v>
      </c>
      <c r="H169" s="25">
        <v>31586</v>
      </c>
      <c r="I169" s="25" t="s">
        <v>129</v>
      </c>
      <c r="J169" s="26">
        <v>45094</v>
      </c>
      <c r="K169" s="25">
        <v>252688</v>
      </c>
      <c r="L169" s="25">
        <v>6317.2</v>
      </c>
    </row>
    <row r="170" spans="1:12">
      <c r="A170" s="25">
        <v>1169</v>
      </c>
      <c r="B170" s="25" t="s">
        <v>113</v>
      </c>
      <c r="C170" s="25" t="s">
        <v>126</v>
      </c>
      <c r="D170" s="25" t="s">
        <v>138</v>
      </c>
      <c r="E170" s="25" t="s">
        <v>131</v>
      </c>
      <c r="F170" s="25" t="s">
        <v>141</v>
      </c>
      <c r="G170" s="25">
        <v>1</v>
      </c>
      <c r="H170" s="25">
        <v>40974</v>
      </c>
      <c r="I170" s="25" t="s">
        <v>129</v>
      </c>
      <c r="J170" s="26">
        <v>45095</v>
      </c>
      <c r="K170" s="25">
        <v>40974</v>
      </c>
      <c r="L170" s="25">
        <v>8194.7999999999993</v>
      </c>
    </row>
    <row r="171" spans="1:12">
      <c r="A171" s="25">
        <v>1170</v>
      </c>
      <c r="B171" s="25" t="s">
        <v>14</v>
      </c>
      <c r="C171" s="25" t="s">
        <v>139</v>
      </c>
      <c r="D171" s="25" t="s">
        <v>121</v>
      </c>
      <c r="E171" s="25" t="s">
        <v>122</v>
      </c>
      <c r="F171" s="25" t="s">
        <v>132</v>
      </c>
      <c r="G171" s="25">
        <v>1</v>
      </c>
      <c r="H171" s="25">
        <v>42773</v>
      </c>
      <c r="I171" s="25" t="s">
        <v>129</v>
      </c>
      <c r="J171" s="26">
        <v>45096</v>
      </c>
      <c r="K171" s="25">
        <v>42773</v>
      </c>
      <c r="L171" s="25">
        <v>8554.6</v>
      </c>
    </row>
    <row r="172" spans="1:12">
      <c r="A172" s="25">
        <v>1171</v>
      </c>
      <c r="B172" s="25" t="s">
        <v>136</v>
      </c>
      <c r="C172" s="25" t="s">
        <v>133</v>
      </c>
      <c r="D172" s="25" t="s">
        <v>134</v>
      </c>
      <c r="E172" s="25" t="s">
        <v>116</v>
      </c>
      <c r="F172" s="25" t="s">
        <v>141</v>
      </c>
      <c r="G172" s="25">
        <v>6</v>
      </c>
      <c r="H172" s="25">
        <v>17371</v>
      </c>
      <c r="I172" s="25" t="s">
        <v>118</v>
      </c>
      <c r="J172" s="26">
        <v>45097</v>
      </c>
      <c r="K172" s="25">
        <v>104226</v>
      </c>
      <c r="L172" s="25">
        <v>3474.2</v>
      </c>
    </row>
    <row r="173" spans="1:12">
      <c r="A173" s="25">
        <v>1172</v>
      </c>
      <c r="B173" s="25" t="s">
        <v>145</v>
      </c>
      <c r="C173" s="25" t="s">
        <v>133</v>
      </c>
      <c r="D173" s="25" t="s">
        <v>121</v>
      </c>
      <c r="E173" s="25" t="s">
        <v>131</v>
      </c>
      <c r="F173" s="25" t="s">
        <v>128</v>
      </c>
      <c r="G173" s="25">
        <v>2</v>
      </c>
      <c r="H173" s="25">
        <v>46084</v>
      </c>
      <c r="I173" s="25" t="s">
        <v>129</v>
      </c>
      <c r="J173" s="26">
        <v>45098</v>
      </c>
      <c r="K173" s="25">
        <v>92168</v>
      </c>
      <c r="L173" s="25">
        <v>9216.7999999999993</v>
      </c>
    </row>
    <row r="174" spans="1:12">
      <c r="A174" s="25">
        <v>1173</v>
      </c>
      <c r="B174" s="25" t="s">
        <v>130</v>
      </c>
      <c r="C174" s="25" t="s">
        <v>133</v>
      </c>
      <c r="D174" s="25" t="s">
        <v>138</v>
      </c>
      <c r="E174" s="25" t="s">
        <v>131</v>
      </c>
      <c r="F174" s="25" t="s">
        <v>141</v>
      </c>
      <c r="G174" s="25">
        <v>5</v>
      </c>
      <c r="H174" s="25">
        <v>30629</v>
      </c>
      <c r="I174" s="25" t="s">
        <v>129</v>
      </c>
      <c r="J174" s="26">
        <v>45099</v>
      </c>
      <c r="K174" s="25">
        <v>153145</v>
      </c>
      <c r="L174" s="25">
        <v>6125.8</v>
      </c>
    </row>
    <row r="175" spans="1:12">
      <c r="A175" s="25">
        <v>1174</v>
      </c>
      <c r="B175" s="25" t="s">
        <v>145</v>
      </c>
      <c r="C175" s="25" t="s">
        <v>114</v>
      </c>
      <c r="D175" s="25" t="s">
        <v>115</v>
      </c>
      <c r="E175" s="25" t="s">
        <v>122</v>
      </c>
      <c r="F175" s="25" t="s">
        <v>128</v>
      </c>
      <c r="G175" s="25">
        <v>1</v>
      </c>
      <c r="H175" s="25">
        <v>9436</v>
      </c>
      <c r="I175" s="25" t="s">
        <v>124</v>
      </c>
      <c r="J175" s="26">
        <v>45100</v>
      </c>
      <c r="K175" s="25">
        <v>9436</v>
      </c>
      <c r="L175" s="25">
        <v>1887.2</v>
      </c>
    </row>
    <row r="176" spans="1:12">
      <c r="A176" s="25">
        <v>1175</v>
      </c>
      <c r="B176" s="25" t="s">
        <v>125</v>
      </c>
      <c r="C176" s="25" t="s">
        <v>120</v>
      </c>
      <c r="D176" s="25" t="s">
        <v>134</v>
      </c>
      <c r="E176" s="25" t="s">
        <v>116</v>
      </c>
      <c r="F176" s="25" t="s">
        <v>128</v>
      </c>
      <c r="G176" s="25">
        <v>7</v>
      </c>
      <c r="H176" s="25">
        <v>13984</v>
      </c>
      <c r="I176" s="25" t="s">
        <v>118</v>
      </c>
      <c r="J176" s="26">
        <v>45101</v>
      </c>
      <c r="K176" s="25">
        <v>97888</v>
      </c>
      <c r="L176" s="25">
        <v>2796.8</v>
      </c>
    </row>
    <row r="177" spans="1:12">
      <c r="A177" s="25">
        <v>1176</v>
      </c>
      <c r="B177" s="25" t="s">
        <v>145</v>
      </c>
      <c r="C177" s="25" t="s">
        <v>126</v>
      </c>
      <c r="D177" s="25" t="s">
        <v>115</v>
      </c>
      <c r="E177" s="25" t="s">
        <v>116</v>
      </c>
      <c r="F177" s="25" t="s">
        <v>140</v>
      </c>
      <c r="G177" s="25">
        <v>1</v>
      </c>
      <c r="H177" s="25">
        <v>34039</v>
      </c>
      <c r="I177" s="25" t="s">
        <v>129</v>
      </c>
      <c r="J177" s="26">
        <v>45102</v>
      </c>
      <c r="K177" s="25">
        <v>34039</v>
      </c>
      <c r="L177" s="25">
        <v>6807.8</v>
      </c>
    </row>
    <row r="178" spans="1:12">
      <c r="A178" s="25">
        <v>1177</v>
      </c>
      <c r="B178" s="25" t="s">
        <v>145</v>
      </c>
      <c r="C178" s="25" t="s">
        <v>137</v>
      </c>
      <c r="D178" s="25" t="s">
        <v>115</v>
      </c>
      <c r="E178" s="25" t="s">
        <v>131</v>
      </c>
      <c r="F178" s="25" t="s">
        <v>141</v>
      </c>
      <c r="G178" s="25">
        <v>4</v>
      </c>
      <c r="H178" s="25">
        <v>20895</v>
      </c>
      <c r="I178" s="25" t="s">
        <v>118</v>
      </c>
      <c r="J178" s="26">
        <v>45103</v>
      </c>
      <c r="K178" s="25">
        <v>83580</v>
      </c>
      <c r="L178" s="25">
        <v>4179</v>
      </c>
    </row>
    <row r="179" spans="1:12">
      <c r="A179" s="25">
        <v>1178</v>
      </c>
      <c r="B179" s="25" t="s">
        <v>14</v>
      </c>
      <c r="C179" s="25" t="s">
        <v>114</v>
      </c>
      <c r="D179" s="25" t="s">
        <v>134</v>
      </c>
      <c r="E179" s="25" t="s">
        <v>131</v>
      </c>
      <c r="F179" s="25" t="s">
        <v>128</v>
      </c>
      <c r="G179" s="25">
        <v>9</v>
      </c>
      <c r="H179" s="25">
        <v>19155</v>
      </c>
      <c r="I179" s="25" t="s">
        <v>118</v>
      </c>
      <c r="J179" s="26">
        <v>45104</v>
      </c>
      <c r="K179" s="25">
        <v>172395</v>
      </c>
      <c r="L179" s="25">
        <v>3831</v>
      </c>
    </row>
    <row r="180" spans="1:12">
      <c r="A180" s="25">
        <v>1179</v>
      </c>
      <c r="B180" s="25" t="s">
        <v>14</v>
      </c>
      <c r="C180" s="25" t="s">
        <v>139</v>
      </c>
      <c r="D180" s="25" t="s">
        <v>121</v>
      </c>
      <c r="E180" s="25" t="s">
        <v>122</v>
      </c>
      <c r="F180" s="25" t="s">
        <v>123</v>
      </c>
      <c r="G180" s="25">
        <v>1</v>
      </c>
      <c r="H180" s="25">
        <v>11616</v>
      </c>
      <c r="I180" s="25" t="s">
        <v>118</v>
      </c>
      <c r="J180" s="26">
        <v>45105</v>
      </c>
      <c r="K180" s="25">
        <v>11616</v>
      </c>
      <c r="L180" s="25">
        <v>2323.1999999999998</v>
      </c>
    </row>
    <row r="181" spans="1:12">
      <c r="A181" s="25">
        <v>1180</v>
      </c>
      <c r="B181" s="25" t="s">
        <v>142</v>
      </c>
      <c r="C181" s="25" t="s">
        <v>137</v>
      </c>
      <c r="D181" s="25" t="s">
        <v>115</v>
      </c>
      <c r="E181" s="25" t="s">
        <v>122</v>
      </c>
      <c r="F181" s="25" t="s">
        <v>144</v>
      </c>
      <c r="G181" s="25">
        <v>4</v>
      </c>
      <c r="H181" s="25">
        <v>38129</v>
      </c>
      <c r="I181" s="25" t="s">
        <v>129</v>
      </c>
      <c r="J181" s="26">
        <v>45106</v>
      </c>
      <c r="K181" s="25">
        <v>152516</v>
      </c>
      <c r="L181" s="25">
        <v>7625.8</v>
      </c>
    </row>
    <row r="182" spans="1:12">
      <c r="A182" s="25">
        <v>1181</v>
      </c>
      <c r="B182" s="25" t="s">
        <v>113</v>
      </c>
      <c r="C182" s="25" t="s">
        <v>120</v>
      </c>
      <c r="D182" s="25" t="s">
        <v>138</v>
      </c>
      <c r="E182" s="25" t="s">
        <v>116</v>
      </c>
      <c r="F182" s="25" t="s">
        <v>117</v>
      </c>
      <c r="G182" s="25">
        <v>6</v>
      </c>
      <c r="H182" s="25">
        <v>40837</v>
      </c>
      <c r="I182" s="25" t="s">
        <v>129</v>
      </c>
      <c r="J182" s="26">
        <v>45107</v>
      </c>
      <c r="K182" s="25">
        <v>245022</v>
      </c>
      <c r="L182" s="25">
        <v>8167.4</v>
      </c>
    </row>
    <row r="183" spans="1:12">
      <c r="A183" s="25">
        <v>1182</v>
      </c>
      <c r="B183" s="25" t="s">
        <v>130</v>
      </c>
      <c r="C183" s="25" t="s">
        <v>114</v>
      </c>
      <c r="D183" s="25" t="s">
        <v>115</v>
      </c>
      <c r="E183" s="25" t="s">
        <v>127</v>
      </c>
      <c r="F183" s="25" t="s">
        <v>117</v>
      </c>
      <c r="G183" s="25">
        <v>6</v>
      </c>
      <c r="H183" s="25">
        <v>25574</v>
      </c>
      <c r="I183" s="25" t="s">
        <v>129</v>
      </c>
      <c r="J183" s="26">
        <v>45108</v>
      </c>
      <c r="K183" s="25">
        <v>153444</v>
      </c>
      <c r="L183" s="25">
        <v>5114.8</v>
      </c>
    </row>
    <row r="184" spans="1:12">
      <c r="A184" s="25">
        <v>1183</v>
      </c>
      <c r="B184" s="25" t="s">
        <v>145</v>
      </c>
      <c r="C184" s="25" t="s">
        <v>137</v>
      </c>
      <c r="D184" s="25" t="s">
        <v>134</v>
      </c>
      <c r="E184" s="25" t="s">
        <v>116</v>
      </c>
      <c r="F184" s="25" t="s">
        <v>140</v>
      </c>
      <c r="G184" s="25">
        <v>8</v>
      </c>
      <c r="H184" s="25">
        <v>4430</v>
      </c>
      <c r="I184" s="25" t="s">
        <v>124</v>
      </c>
      <c r="J184" s="26">
        <v>45109</v>
      </c>
      <c r="K184" s="25">
        <v>35440</v>
      </c>
      <c r="L184" s="25">
        <v>886</v>
      </c>
    </row>
    <row r="185" spans="1:12">
      <c r="A185" s="25">
        <v>1184</v>
      </c>
      <c r="B185" s="25" t="s">
        <v>145</v>
      </c>
      <c r="C185" s="25" t="s">
        <v>120</v>
      </c>
      <c r="D185" s="25" t="s">
        <v>134</v>
      </c>
      <c r="E185" s="25" t="s">
        <v>131</v>
      </c>
      <c r="F185" s="25" t="s">
        <v>141</v>
      </c>
      <c r="G185" s="25">
        <v>1</v>
      </c>
      <c r="H185" s="25">
        <v>13676</v>
      </c>
      <c r="I185" s="25" t="s">
        <v>118</v>
      </c>
      <c r="J185" s="26">
        <v>45110</v>
      </c>
      <c r="K185" s="25">
        <v>13676</v>
      </c>
      <c r="L185" s="25">
        <v>2735.2</v>
      </c>
    </row>
    <row r="186" spans="1:12">
      <c r="A186" s="25">
        <v>1185</v>
      </c>
      <c r="B186" s="25" t="s">
        <v>136</v>
      </c>
      <c r="C186" s="25" t="s">
        <v>139</v>
      </c>
      <c r="D186" s="25" t="s">
        <v>134</v>
      </c>
      <c r="E186" s="25" t="s">
        <v>116</v>
      </c>
      <c r="F186" s="25" t="s">
        <v>141</v>
      </c>
      <c r="G186" s="25">
        <v>7</v>
      </c>
      <c r="H186" s="25">
        <v>11816</v>
      </c>
      <c r="I186" s="25" t="s">
        <v>118</v>
      </c>
      <c r="J186" s="26">
        <v>45111</v>
      </c>
      <c r="K186" s="25">
        <v>82712</v>
      </c>
      <c r="L186" s="25">
        <v>2363.1999999999998</v>
      </c>
    </row>
    <row r="187" spans="1:12">
      <c r="A187" s="25">
        <v>1186</v>
      </c>
      <c r="B187" s="25" t="s">
        <v>14</v>
      </c>
      <c r="C187" s="25" t="s">
        <v>120</v>
      </c>
      <c r="D187" s="25" t="s">
        <v>121</v>
      </c>
      <c r="E187" s="25" t="s">
        <v>127</v>
      </c>
      <c r="F187" s="25" t="s">
        <v>128</v>
      </c>
      <c r="G187" s="25">
        <v>1</v>
      </c>
      <c r="H187" s="25">
        <v>33733</v>
      </c>
      <c r="I187" s="25" t="s">
        <v>129</v>
      </c>
      <c r="J187" s="26">
        <v>45112</v>
      </c>
      <c r="K187" s="25">
        <v>33733</v>
      </c>
      <c r="L187" s="25">
        <v>6746.6</v>
      </c>
    </row>
    <row r="188" spans="1:12">
      <c r="A188" s="25">
        <v>1187</v>
      </c>
      <c r="B188" s="25" t="s">
        <v>130</v>
      </c>
      <c r="C188" s="25" t="s">
        <v>114</v>
      </c>
      <c r="D188" s="25" t="s">
        <v>115</v>
      </c>
      <c r="E188" s="25" t="s">
        <v>122</v>
      </c>
      <c r="F188" s="25" t="s">
        <v>132</v>
      </c>
      <c r="G188" s="25">
        <v>7</v>
      </c>
      <c r="H188" s="25">
        <v>21144</v>
      </c>
      <c r="I188" s="25" t="s">
        <v>118</v>
      </c>
      <c r="J188" s="26">
        <v>45113</v>
      </c>
      <c r="K188" s="25">
        <v>148008</v>
      </c>
      <c r="L188" s="25">
        <v>4228.8</v>
      </c>
    </row>
    <row r="189" spans="1:12">
      <c r="A189" s="25">
        <v>1188</v>
      </c>
      <c r="B189" s="25" t="s">
        <v>135</v>
      </c>
      <c r="C189" s="25" t="s">
        <v>126</v>
      </c>
      <c r="D189" s="25" t="s">
        <v>121</v>
      </c>
      <c r="E189" s="25" t="s">
        <v>127</v>
      </c>
      <c r="F189" s="25" t="s">
        <v>143</v>
      </c>
      <c r="G189" s="25">
        <v>3</v>
      </c>
      <c r="H189" s="25">
        <v>3050</v>
      </c>
      <c r="I189" s="25" t="s">
        <v>124</v>
      </c>
      <c r="J189" s="26">
        <v>45114</v>
      </c>
      <c r="K189" s="25">
        <v>9150</v>
      </c>
      <c r="L189" s="25">
        <v>610</v>
      </c>
    </row>
    <row r="190" spans="1:12">
      <c r="A190" s="25">
        <v>1189</v>
      </c>
      <c r="B190" s="25" t="s">
        <v>142</v>
      </c>
      <c r="C190" s="25" t="s">
        <v>114</v>
      </c>
      <c r="D190" s="25" t="s">
        <v>121</v>
      </c>
      <c r="E190" s="25" t="s">
        <v>127</v>
      </c>
      <c r="F190" s="25" t="s">
        <v>128</v>
      </c>
      <c r="G190" s="25">
        <v>8</v>
      </c>
      <c r="H190" s="25">
        <v>45460</v>
      </c>
      <c r="I190" s="25" t="s">
        <v>129</v>
      </c>
      <c r="J190" s="26">
        <v>45115</v>
      </c>
      <c r="K190" s="25">
        <v>363680</v>
      </c>
      <c r="L190" s="25">
        <v>9092</v>
      </c>
    </row>
    <row r="191" spans="1:12">
      <c r="A191" s="25">
        <v>1190</v>
      </c>
      <c r="B191" s="25" t="s">
        <v>113</v>
      </c>
      <c r="C191" s="25" t="s">
        <v>133</v>
      </c>
      <c r="D191" s="25" t="s">
        <v>134</v>
      </c>
      <c r="E191" s="25" t="s">
        <v>127</v>
      </c>
      <c r="F191" s="25" t="s">
        <v>144</v>
      </c>
      <c r="G191" s="25">
        <v>3</v>
      </c>
      <c r="H191" s="25">
        <v>34933</v>
      </c>
      <c r="I191" s="25" t="s">
        <v>129</v>
      </c>
      <c r="J191" s="26">
        <v>45116</v>
      </c>
      <c r="K191" s="25">
        <v>104799</v>
      </c>
      <c r="L191" s="25">
        <v>6986.6</v>
      </c>
    </row>
    <row r="192" spans="1:12">
      <c r="A192" s="25">
        <v>1191</v>
      </c>
      <c r="B192" s="25" t="s">
        <v>119</v>
      </c>
      <c r="C192" s="25" t="s">
        <v>120</v>
      </c>
      <c r="D192" s="25" t="s">
        <v>134</v>
      </c>
      <c r="E192" s="25" t="s">
        <v>122</v>
      </c>
      <c r="F192" s="25" t="s">
        <v>123</v>
      </c>
      <c r="G192" s="25">
        <v>1</v>
      </c>
      <c r="H192" s="25">
        <v>25951</v>
      </c>
      <c r="I192" s="25" t="s">
        <v>129</v>
      </c>
      <c r="J192" s="26">
        <v>45117</v>
      </c>
      <c r="K192" s="25">
        <v>25951</v>
      </c>
      <c r="L192" s="25">
        <v>5190.2</v>
      </c>
    </row>
    <row r="193" spans="1:12">
      <c r="A193" s="25">
        <v>1192</v>
      </c>
      <c r="B193" s="25" t="s">
        <v>113</v>
      </c>
      <c r="C193" s="25" t="s">
        <v>139</v>
      </c>
      <c r="D193" s="25" t="s">
        <v>121</v>
      </c>
      <c r="E193" s="25" t="s">
        <v>127</v>
      </c>
      <c r="F193" s="25" t="s">
        <v>117</v>
      </c>
      <c r="G193" s="25">
        <v>8</v>
      </c>
      <c r="H193" s="25">
        <v>33413</v>
      </c>
      <c r="I193" s="25" t="s">
        <v>129</v>
      </c>
      <c r="J193" s="26">
        <v>45118</v>
      </c>
      <c r="K193" s="25">
        <v>267304</v>
      </c>
      <c r="L193" s="25">
        <v>6682.6</v>
      </c>
    </row>
    <row r="194" spans="1:12">
      <c r="A194" s="25">
        <v>1193</v>
      </c>
      <c r="B194" s="25" t="s">
        <v>125</v>
      </c>
      <c r="C194" s="25" t="s">
        <v>120</v>
      </c>
      <c r="D194" s="25" t="s">
        <v>115</v>
      </c>
      <c r="E194" s="25" t="s">
        <v>127</v>
      </c>
      <c r="F194" s="25" t="s">
        <v>128</v>
      </c>
      <c r="G194" s="25">
        <v>3</v>
      </c>
      <c r="H194" s="25">
        <v>35801</v>
      </c>
      <c r="I194" s="25" t="s">
        <v>129</v>
      </c>
      <c r="J194" s="26">
        <v>45119</v>
      </c>
      <c r="K194" s="25">
        <v>107403</v>
      </c>
      <c r="L194" s="25">
        <v>7160.2</v>
      </c>
    </row>
    <row r="195" spans="1:12">
      <c r="A195" s="25">
        <v>1194</v>
      </c>
      <c r="B195" s="25" t="s">
        <v>145</v>
      </c>
      <c r="C195" s="25" t="s">
        <v>133</v>
      </c>
      <c r="D195" s="25" t="s">
        <v>138</v>
      </c>
      <c r="E195" s="25" t="s">
        <v>127</v>
      </c>
      <c r="F195" s="25" t="s">
        <v>143</v>
      </c>
      <c r="G195" s="25">
        <v>2</v>
      </c>
      <c r="H195" s="25">
        <v>33913</v>
      </c>
      <c r="I195" s="25" t="s">
        <v>129</v>
      </c>
      <c r="J195" s="26">
        <v>45120</v>
      </c>
      <c r="K195" s="25">
        <v>67826</v>
      </c>
      <c r="L195" s="25">
        <v>6782.6</v>
      </c>
    </row>
    <row r="196" spans="1:12">
      <c r="A196" s="25">
        <v>1195</v>
      </c>
      <c r="B196" s="25" t="s">
        <v>142</v>
      </c>
      <c r="C196" s="25" t="s">
        <v>137</v>
      </c>
      <c r="D196" s="25" t="s">
        <v>121</v>
      </c>
      <c r="E196" s="25" t="s">
        <v>131</v>
      </c>
      <c r="F196" s="25" t="s">
        <v>143</v>
      </c>
      <c r="G196" s="25">
        <v>1</v>
      </c>
      <c r="H196" s="25">
        <v>48037</v>
      </c>
      <c r="I196" s="25" t="s">
        <v>129</v>
      </c>
      <c r="J196" s="26">
        <v>45121</v>
      </c>
      <c r="K196" s="25">
        <v>48037</v>
      </c>
      <c r="L196" s="25">
        <v>9607.4</v>
      </c>
    </row>
    <row r="197" spans="1:12">
      <c r="A197" s="25">
        <v>1196</v>
      </c>
      <c r="B197" s="25" t="s">
        <v>125</v>
      </c>
      <c r="C197" s="25" t="s">
        <v>126</v>
      </c>
      <c r="D197" s="25" t="s">
        <v>115</v>
      </c>
      <c r="E197" s="25" t="s">
        <v>127</v>
      </c>
      <c r="F197" s="25" t="s">
        <v>128</v>
      </c>
      <c r="G197" s="25">
        <v>3</v>
      </c>
      <c r="H197" s="25">
        <v>41600</v>
      </c>
      <c r="I197" s="25" t="s">
        <v>129</v>
      </c>
      <c r="J197" s="26">
        <v>45122</v>
      </c>
      <c r="K197" s="25">
        <v>124800</v>
      </c>
      <c r="L197" s="25">
        <v>8320</v>
      </c>
    </row>
    <row r="198" spans="1:12">
      <c r="A198" s="25">
        <v>1197</v>
      </c>
      <c r="B198" s="25" t="s">
        <v>130</v>
      </c>
      <c r="C198" s="25" t="s">
        <v>133</v>
      </c>
      <c r="D198" s="25" t="s">
        <v>134</v>
      </c>
      <c r="E198" s="25" t="s">
        <v>122</v>
      </c>
      <c r="F198" s="25" t="s">
        <v>140</v>
      </c>
      <c r="G198" s="25">
        <v>2</v>
      </c>
      <c r="H198" s="25">
        <v>26280</v>
      </c>
      <c r="I198" s="25" t="s">
        <v>129</v>
      </c>
      <c r="J198" s="26">
        <v>45123</v>
      </c>
      <c r="K198" s="25">
        <v>52560</v>
      </c>
      <c r="L198" s="25">
        <v>5256</v>
      </c>
    </row>
    <row r="199" spans="1:12">
      <c r="A199" s="25">
        <v>1198</v>
      </c>
      <c r="B199" s="25" t="s">
        <v>119</v>
      </c>
      <c r="C199" s="25" t="s">
        <v>114</v>
      </c>
      <c r="D199" s="25" t="s">
        <v>134</v>
      </c>
      <c r="E199" s="25" t="s">
        <v>127</v>
      </c>
      <c r="F199" s="25" t="s">
        <v>117</v>
      </c>
      <c r="G199" s="25">
        <v>2</v>
      </c>
      <c r="H199" s="25">
        <v>25557</v>
      </c>
      <c r="I199" s="25" t="s">
        <v>129</v>
      </c>
      <c r="J199" s="26">
        <v>45124</v>
      </c>
      <c r="K199" s="25">
        <v>51114</v>
      </c>
      <c r="L199" s="25">
        <v>5111.3999999999996</v>
      </c>
    </row>
    <row r="200" spans="1:12">
      <c r="A200" s="25">
        <v>1199</v>
      </c>
      <c r="B200" s="25" t="s">
        <v>14</v>
      </c>
      <c r="C200" s="25" t="s">
        <v>114</v>
      </c>
      <c r="D200" s="25" t="s">
        <v>115</v>
      </c>
      <c r="E200" s="25" t="s">
        <v>127</v>
      </c>
      <c r="F200" s="25" t="s">
        <v>140</v>
      </c>
      <c r="G200" s="25">
        <v>6</v>
      </c>
      <c r="H200" s="25">
        <v>48054</v>
      </c>
      <c r="I200" s="25" t="s">
        <v>129</v>
      </c>
      <c r="J200" s="26">
        <v>45125</v>
      </c>
      <c r="K200" s="25">
        <v>288324</v>
      </c>
      <c r="L200" s="25">
        <v>9610.7999999999993</v>
      </c>
    </row>
    <row r="201" spans="1:12">
      <c r="A201" s="25">
        <v>1200</v>
      </c>
      <c r="B201" s="25" t="s">
        <v>142</v>
      </c>
      <c r="C201" s="25" t="s">
        <v>120</v>
      </c>
      <c r="D201" s="25" t="s">
        <v>138</v>
      </c>
      <c r="E201" s="25" t="s">
        <v>122</v>
      </c>
      <c r="F201" s="25" t="s">
        <v>123</v>
      </c>
      <c r="G201" s="25">
        <v>1</v>
      </c>
      <c r="H201" s="25">
        <v>36400</v>
      </c>
      <c r="I201" s="25" t="s">
        <v>129</v>
      </c>
      <c r="J201" s="26">
        <v>45126</v>
      </c>
      <c r="K201" s="25">
        <v>36400</v>
      </c>
      <c r="L201" s="25">
        <v>7280</v>
      </c>
    </row>
    <row r="202" spans="1:12">
      <c r="A202" s="25">
        <v>1201</v>
      </c>
      <c r="B202" s="25" t="s">
        <v>142</v>
      </c>
      <c r="C202" s="25" t="s">
        <v>114</v>
      </c>
      <c r="D202" s="25" t="s">
        <v>134</v>
      </c>
      <c r="E202" s="25" t="s">
        <v>127</v>
      </c>
      <c r="F202" s="25" t="s">
        <v>143</v>
      </c>
      <c r="G202" s="25">
        <v>2</v>
      </c>
      <c r="H202" s="25">
        <v>5494</v>
      </c>
      <c r="I202" s="25" t="s">
        <v>124</v>
      </c>
      <c r="J202" s="26">
        <v>45127</v>
      </c>
      <c r="K202" s="25">
        <v>10988</v>
      </c>
      <c r="L202" s="25">
        <v>1098.8</v>
      </c>
    </row>
    <row r="203" spans="1:12">
      <c r="A203" s="25">
        <v>1202</v>
      </c>
      <c r="B203" s="25" t="s">
        <v>145</v>
      </c>
      <c r="C203" s="25" t="s">
        <v>126</v>
      </c>
      <c r="D203" s="25" t="s">
        <v>134</v>
      </c>
      <c r="E203" s="25" t="s">
        <v>122</v>
      </c>
      <c r="F203" s="25" t="s">
        <v>143</v>
      </c>
      <c r="G203" s="25">
        <v>6</v>
      </c>
      <c r="H203" s="25">
        <v>16152</v>
      </c>
      <c r="I203" s="25" t="s">
        <v>118</v>
      </c>
      <c r="J203" s="26">
        <v>45128</v>
      </c>
      <c r="K203" s="25">
        <v>96912</v>
      </c>
      <c r="L203" s="25">
        <v>3230.4</v>
      </c>
    </row>
    <row r="204" spans="1:12">
      <c r="A204" s="25">
        <v>1203</v>
      </c>
      <c r="B204" s="25" t="s">
        <v>146</v>
      </c>
      <c r="C204" s="25" t="s">
        <v>114</v>
      </c>
      <c r="D204" s="25" t="s">
        <v>134</v>
      </c>
      <c r="E204" s="25" t="s">
        <v>127</v>
      </c>
      <c r="F204" s="25" t="s">
        <v>144</v>
      </c>
      <c r="G204" s="25">
        <v>3</v>
      </c>
      <c r="H204" s="25">
        <v>24895</v>
      </c>
      <c r="I204" s="25" t="s">
        <v>118</v>
      </c>
      <c r="J204" s="26">
        <v>45129</v>
      </c>
      <c r="K204" s="25">
        <v>74685</v>
      </c>
      <c r="L204" s="25">
        <v>4979</v>
      </c>
    </row>
    <row r="205" spans="1:12">
      <c r="A205" s="25">
        <v>1204</v>
      </c>
      <c r="B205" s="25" t="s">
        <v>142</v>
      </c>
      <c r="C205" s="25" t="s">
        <v>114</v>
      </c>
      <c r="D205" s="25" t="s">
        <v>115</v>
      </c>
      <c r="E205" s="25" t="s">
        <v>122</v>
      </c>
      <c r="F205" s="25" t="s">
        <v>123</v>
      </c>
      <c r="G205" s="25">
        <v>4</v>
      </c>
      <c r="H205" s="25">
        <v>10155</v>
      </c>
      <c r="I205" s="25" t="s">
        <v>118</v>
      </c>
      <c r="J205" s="26">
        <v>45130</v>
      </c>
      <c r="K205" s="25">
        <v>40620</v>
      </c>
      <c r="L205" s="25">
        <v>2031</v>
      </c>
    </row>
    <row r="206" spans="1:12">
      <c r="A206" s="25">
        <v>1205</v>
      </c>
      <c r="B206" s="25" t="s">
        <v>136</v>
      </c>
      <c r="C206" s="25" t="s">
        <v>126</v>
      </c>
      <c r="D206" s="25" t="s">
        <v>121</v>
      </c>
      <c r="E206" s="25" t="s">
        <v>127</v>
      </c>
      <c r="F206" s="25" t="s">
        <v>143</v>
      </c>
      <c r="G206" s="25">
        <v>1</v>
      </c>
      <c r="H206" s="25">
        <v>32883</v>
      </c>
      <c r="I206" s="25" t="s">
        <v>129</v>
      </c>
      <c r="J206" s="26">
        <v>45131</v>
      </c>
      <c r="K206" s="25">
        <v>32883</v>
      </c>
      <c r="L206" s="25">
        <v>6576.6</v>
      </c>
    </row>
    <row r="207" spans="1:12">
      <c r="A207" s="25">
        <v>1206</v>
      </c>
      <c r="B207" s="25" t="s">
        <v>119</v>
      </c>
      <c r="C207" s="25" t="s">
        <v>120</v>
      </c>
      <c r="D207" s="25" t="s">
        <v>134</v>
      </c>
      <c r="E207" s="25" t="s">
        <v>127</v>
      </c>
      <c r="F207" s="25" t="s">
        <v>123</v>
      </c>
      <c r="G207" s="25">
        <v>8</v>
      </c>
      <c r="H207" s="25">
        <v>44194</v>
      </c>
      <c r="I207" s="25" t="s">
        <v>129</v>
      </c>
      <c r="J207" s="26">
        <v>45132</v>
      </c>
      <c r="K207" s="25">
        <v>353552</v>
      </c>
      <c r="L207" s="25">
        <v>8838.7999999999993</v>
      </c>
    </row>
    <row r="208" spans="1:12">
      <c r="A208" s="25">
        <v>1207</v>
      </c>
      <c r="B208" s="25" t="s">
        <v>119</v>
      </c>
      <c r="C208" s="25" t="s">
        <v>133</v>
      </c>
      <c r="D208" s="25" t="s">
        <v>121</v>
      </c>
      <c r="E208" s="25" t="s">
        <v>131</v>
      </c>
      <c r="F208" s="25" t="s">
        <v>117</v>
      </c>
      <c r="G208" s="25">
        <v>7</v>
      </c>
      <c r="H208" s="25">
        <v>44001</v>
      </c>
      <c r="I208" s="25" t="s">
        <v>129</v>
      </c>
      <c r="J208" s="26">
        <v>45133</v>
      </c>
      <c r="K208" s="25">
        <v>308007</v>
      </c>
      <c r="L208" s="25">
        <v>8800.2000000000007</v>
      </c>
    </row>
    <row r="209" spans="1:12">
      <c r="A209" s="25">
        <v>1208</v>
      </c>
      <c r="B209" s="25" t="s">
        <v>136</v>
      </c>
      <c r="C209" s="25" t="s">
        <v>126</v>
      </c>
      <c r="D209" s="25" t="s">
        <v>138</v>
      </c>
      <c r="E209" s="25" t="s">
        <v>131</v>
      </c>
      <c r="F209" s="25" t="s">
        <v>141</v>
      </c>
      <c r="G209" s="25">
        <v>7</v>
      </c>
      <c r="H209" s="25">
        <v>2828</v>
      </c>
      <c r="I209" s="25" t="s">
        <v>124</v>
      </c>
      <c r="J209" s="26">
        <v>45134</v>
      </c>
      <c r="K209" s="25">
        <v>19796</v>
      </c>
      <c r="L209" s="25">
        <v>565.6</v>
      </c>
    </row>
    <row r="210" spans="1:12">
      <c r="A210" s="25">
        <v>1209</v>
      </c>
      <c r="B210" s="25" t="s">
        <v>135</v>
      </c>
      <c r="C210" s="25" t="s">
        <v>133</v>
      </c>
      <c r="D210" s="25" t="s">
        <v>134</v>
      </c>
      <c r="E210" s="25" t="s">
        <v>127</v>
      </c>
      <c r="F210" s="25" t="s">
        <v>143</v>
      </c>
      <c r="G210" s="25">
        <v>3</v>
      </c>
      <c r="H210" s="25">
        <v>46028</v>
      </c>
      <c r="I210" s="25" t="s">
        <v>129</v>
      </c>
      <c r="J210" s="26">
        <v>45135</v>
      </c>
      <c r="K210" s="25">
        <v>138084</v>
      </c>
      <c r="L210" s="25">
        <v>9205.6</v>
      </c>
    </row>
    <row r="211" spans="1:12">
      <c r="A211" s="25">
        <v>1210</v>
      </c>
      <c r="B211" s="25" t="s">
        <v>136</v>
      </c>
      <c r="C211" s="25" t="s">
        <v>139</v>
      </c>
      <c r="D211" s="25" t="s">
        <v>134</v>
      </c>
      <c r="E211" s="25" t="s">
        <v>127</v>
      </c>
      <c r="F211" s="25" t="s">
        <v>144</v>
      </c>
      <c r="G211" s="25">
        <v>3</v>
      </c>
      <c r="H211" s="25">
        <v>42898</v>
      </c>
      <c r="I211" s="25" t="s">
        <v>129</v>
      </c>
      <c r="J211" s="26">
        <v>45136</v>
      </c>
      <c r="K211" s="25">
        <v>128694</v>
      </c>
      <c r="L211" s="25">
        <v>8579.6</v>
      </c>
    </row>
    <row r="212" spans="1:12">
      <c r="A212" s="25">
        <v>1211</v>
      </c>
      <c r="B212" s="25" t="s">
        <v>136</v>
      </c>
      <c r="C212" s="25" t="s">
        <v>137</v>
      </c>
      <c r="D212" s="25" t="s">
        <v>138</v>
      </c>
      <c r="E212" s="25" t="s">
        <v>116</v>
      </c>
      <c r="F212" s="25" t="s">
        <v>117</v>
      </c>
      <c r="G212" s="25">
        <v>2</v>
      </c>
      <c r="H212" s="25">
        <v>33123</v>
      </c>
      <c r="I212" s="25" t="s">
        <v>129</v>
      </c>
      <c r="J212" s="26">
        <v>45137</v>
      </c>
      <c r="K212" s="25">
        <v>66246</v>
      </c>
      <c r="L212" s="25">
        <v>6624.6</v>
      </c>
    </row>
    <row r="213" spans="1:12">
      <c r="A213" s="25">
        <v>1212</v>
      </c>
      <c r="B213" s="25" t="s">
        <v>119</v>
      </c>
      <c r="C213" s="25" t="s">
        <v>133</v>
      </c>
      <c r="D213" s="25" t="s">
        <v>134</v>
      </c>
      <c r="E213" s="25" t="s">
        <v>122</v>
      </c>
      <c r="F213" s="25" t="s">
        <v>128</v>
      </c>
      <c r="G213" s="25">
        <v>1</v>
      </c>
      <c r="H213" s="25">
        <v>38573</v>
      </c>
      <c r="I213" s="25" t="s">
        <v>129</v>
      </c>
      <c r="J213" s="26">
        <v>45138</v>
      </c>
      <c r="K213" s="25">
        <v>38573</v>
      </c>
      <c r="L213" s="25">
        <v>7714.6</v>
      </c>
    </row>
    <row r="214" spans="1:12">
      <c r="A214" s="25">
        <v>1213</v>
      </c>
      <c r="B214" s="25" t="s">
        <v>113</v>
      </c>
      <c r="C214" s="25" t="s">
        <v>126</v>
      </c>
      <c r="D214" s="25" t="s">
        <v>121</v>
      </c>
      <c r="E214" s="25" t="s">
        <v>116</v>
      </c>
      <c r="F214" s="25" t="s">
        <v>123</v>
      </c>
      <c r="G214" s="25">
        <v>7</v>
      </c>
      <c r="H214" s="25">
        <v>1806</v>
      </c>
      <c r="I214" s="25" t="s">
        <v>124</v>
      </c>
      <c r="J214" s="26">
        <v>45139</v>
      </c>
      <c r="K214" s="25">
        <v>12642</v>
      </c>
      <c r="L214" s="25">
        <v>361.2</v>
      </c>
    </row>
    <row r="215" spans="1:12">
      <c r="A215" s="25">
        <v>1214</v>
      </c>
      <c r="B215" s="25" t="s">
        <v>119</v>
      </c>
      <c r="C215" s="25" t="s">
        <v>126</v>
      </c>
      <c r="D215" s="25" t="s">
        <v>115</v>
      </c>
      <c r="E215" s="25" t="s">
        <v>131</v>
      </c>
      <c r="F215" s="25" t="s">
        <v>128</v>
      </c>
      <c r="G215" s="25">
        <v>7</v>
      </c>
      <c r="H215" s="25">
        <v>41970</v>
      </c>
      <c r="I215" s="25" t="s">
        <v>129</v>
      </c>
      <c r="J215" s="26">
        <v>45140</v>
      </c>
      <c r="K215" s="25">
        <v>293790</v>
      </c>
      <c r="L215" s="25">
        <v>8394</v>
      </c>
    </row>
    <row r="216" spans="1:12">
      <c r="A216" s="25">
        <v>1215</v>
      </c>
      <c r="B216" s="25" t="s">
        <v>146</v>
      </c>
      <c r="C216" s="25" t="s">
        <v>114</v>
      </c>
      <c r="D216" s="25" t="s">
        <v>121</v>
      </c>
      <c r="E216" s="25" t="s">
        <v>131</v>
      </c>
      <c r="F216" s="25" t="s">
        <v>140</v>
      </c>
      <c r="G216" s="25">
        <v>2</v>
      </c>
      <c r="H216" s="25">
        <v>30757</v>
      </c>
      <c r="I216" s="25" t="s">
        <v>129</v>
      </c>
      <c r="J216" s="26">
        <v>45141</v>
      </c>
      <c r="K216" s="25">
        <v>61514</v>
      </c>
      <c r="L216" s="25">
        <v>6151.4</v>
      </c>
    </row>
    <row r="217" spans="1:12">
      <c r="A217" s="25">
        <v>1216</v>
      </c>
      <c r="B217" s="25" t="s">
        <v>145</v>
      </c>
      <c r="C217" s="25" t="s">
        <v>133</v>
      </c>
      <c r="D217" s="25" t="s">
        <v>115</v>
      </c>
      <c r="E217" s="25" t="s">
        <v>131</v>
      </c>
      <c r="F217" s="25" t="s">
        <v>117</v>
      </c>
      <c r="G217" s="25">
        <v>7</v>
      </c>
      <c r="H217" s="25">
        <v>35636</v>
      </c>
      <c r="I217" s="25" t="s">
        <v>129</v>
      </c>
      <c r="J217" s="26">
        <v>45142</v>
      </c>
      <c r="K217" s="25">
        <v>249452</v>
      </c>
      <c r="L217" s="25">
        <v>7127.2</v>
      </c>
    </row>
    <row r="218" spans="1:12">
      <c r="A218" s="25">
        <v>1217</v>
      </c>
      <c r="B218" s="25" t="s">
        <v>125</v>
      </c>
      <c r="C218" s="25" t="s">
        <v>120</v>
      </c>
      <c r="D218" s="25" t="s">
        <v>115</v>
      </c>
      <c r="E218" s="25" t="s">
        <v>131</v>
      </c>
      <c r="F218" s="25" t="s">
        <v>128</v>
      </c>
      <c r="G218" s="25">
        <v>8</v>
      </c>
      <c r="H218" s="25">
        <v>15561</v>
      </c>
      <c r="I218" s="25" t="s">
        <v>118</v>
      </c>
      <c r="J218" s="26">
        <v>45143</v>
      </c>
      <c r="K218" s="25">
        <v>124488</v>
      </c>
      <c r="L218" s="25">
        <v>3112.2</v>
      </c>
    </row>
    <row r="219" spans="1:12">
      <c r="A219" s="25">
        <v>1218</v>
      </c>
      <c r="B219" s="25" t="s">
        <v>113</v>
      </c>
      <c r="C219" s="25" t="s">
        <v>126</v>
      </c>
      <c r="D219" s="25" t="s">
        <v>121</v>
      </c>
      <c r="E219" s="25" t="s">
        <v>127</v>
      </c>
      <c r="F219" s="25" t="s">
        <v>132</v>
      </c>
      <c r="G219" s="25">
        <v>1</v>
      </c>
      <c r="H219" s="25">
        <v>49280</v>
      </c>
      <c r="I219" s="25" t="s">
        <v>129</v>
      </c>
      <c r="J219" s="26">
        <v>45144</v>
      </c>
      <c r="K219" s="25">
        <v>49280</v>
      </c>
      <c r="L219" s="25">
        <v>9856</v>
      </c>
    </row>
    <row r="220" spans="1:12">
      <c r="A220" s="25">
        <v>1219</v>
      </c>
      <c r="B220" s="25" t="s">
        <v>14</v>
      </c>
      <c r="C220" s="25" t="s">
        <v>133</v>
      </c>
      <c r="D220" s="25" t="s">
        <v>121</v>
      </c>
      <c r="E220" s="25" t="s">
        <v>131</v>
      </c>
      <c r="F220" s="25" t="s">
        <v>132</v>
      </c>
      <c r="G220" s="25">
        <v>9</v>
      </c>
      <c r="H220" s="25">
        <v>25262</v>
      </c>
      <c r="I220" s="25" t="s">
        <v>129</v>
      </c>
      <c r="J220" s="26">
        <v>45145</v>
      </c>
      <c r="K220" s="25">
        <v>227358</v>
      </c>
      <c r="L220" s="25">
        <v>5052.3999999999996</v>
      </c>
    </row>
    <row r="221" spans="1:12">
      <c r="A221" s="25">
        <v>1220</v>
      </c>
      <c r="B221" s="25" t="s">
        <v>125</v>
      </c>
      <c r="C221" s="25" t="s">
        <v>139</v>
      </c>
      <c r="D221" s="25" t="s">
        <v>121</v>
      </c>
      <c r="E221" s="25" t="s">
        <v>127</v>
      </c>
      <c r="F221" s="25" t="s">
        <v>143</v>
      </c>
      <c r="G221" s="25">
        <v>7</v>
      </c>
      <c r="H221" s="25">
        <v>15899</v>
      </c>
      <c r="I221" s="25" t="s">
        <v>118</v>
      </c>
      <c r="J221" s="26">
        <v>45146</v>
      </c>
      <c r="K221" s="25">
        <v>111293</v>
      </c>
      <c r="L221" s="25">
        <v>3179.8</v>
      </c>
    </row>
    <row r="222" spans="1:12">
      <c r="A222" s="25">
        <v>1221</v>
      </c>
      <c r="B222" s="25" t="s">
        <v>145</v>
      </c>
      <c r="C222" s="25" t="s">
        <v>133</v>
      </c>
      <c r="D222" s="25" t="s">
        <v>121</v>
      </c>
      <c r="E222" s="25" t="s">
        <v>127</v>
      </c>
      <c r="F222" s="25" t="s">
        <v>123</v>
      </c>
      <c r="G222" s="25">
        <v>3</v>
      </c>
      <c r="H222" s="25">
        <v>49988</v>
      </c>
      <c r="I222" s="25" t="s">
        <v>129</v>
      </c>
      <c r="J222" s="26">
        <v>45147</v>
      </c>
      <c r="K222" s="25">
        <v>149964</v>
      </c>
      <c r="L222" s="25">
        <v>9997.6</v>
      </c>
    </row>
    <row r="223" spans="1:12">
      <c r="A223" s="25">
        <v>1222</v>
      </c>
      <c r="B223" s="25" t="s">
        <v>146</v>
      </c>
      <c r="C223" s="25" t="s">
        <v>114</v>
      </c>
      <c r="D223" s="25" t="s">
        <v>138</v>
      </c>
      <c r="E223" s="25" t="s">
        <v>131</v>
      </c>
      <c r="F223" s="25" t="s">
        <v>141</v>
      </c>
      <c r="G223" s="25">
        <v>8</v>
      </c>
      <c r="H223" s="25">
        <v>16934</v>
      </c>
      <c r="I223" s="25" t="s">
        <v>118</v>
      </c>
      <c r="J223" s="26">
        <v>45148</v>
      </c>
      <c r="K223" s="25">
        <v>135472</v>
      </c>
      <c r="L223" s="25">
        <v>3386.8</v>
      </c>
    </row>
    <row r="224" spans="1:12">
      <c r="A224" s="25">
        <v>1223</v>
      </c>
      <c r="B224" s="25" t="s">
        <v>146</v>
      </c>
      <c r="C224" s="25" t="s">
        <v>120</v>
      </c>
      <c r="D224" s="25" t="s">
        <v>134</v>
      </c>
      <c r="E224" s="25" t="s">
        <v>131</v>
      </c>
      <c r="F224" s="25" t="s">
        <v>117</v>
      </c>
      <c r="G224" s="25">
        <v>7</v>
      </c>
      <c r="H224" s="25">
        <v>39197</v>
      </c>
      <c r="I224" s="25" t="s">
        <v>129</v>
      </c>
      <c r="J224" s="26">
        <v>45149</v>
      </c>
      <c r="K224" s="25">
        <v>274379</v>
      </c>
      <c r="L224" s="25">
        <v>7839.4</v>
      </c>
    </row>
    <row r="225" spans="1:12">
      <c r="A225" s="25">
        <v>1224</v>
      </c>
      <c r="B225" s="25" t="s">
        <v>14</v>
      </c>
      <c r="C225" s="25" t="s">
        <v>137</v>
      </c>
      <c r="D225" s="25" t="s">
        <v>115</v>
      </c>
      <c r="E225" s="25" t="s">
        <v>122</v>
      </c>
      <c r="F225" s="25" t="s">
        <v>143</v>
      </c>
      <c r="G225" s="25">
        <v>8</v>
      </c>
      <c r="H225" s="25">
        <v>42844</v>
      </c>
      <c r="I225" s="25" t="s">
        <v>129</v>
      </c>
      <c r="J225" s="26">
        <v>45150</v>
      </c>
      <c r="K225" s="25">
        <v>342752</v>
      </c>
      <c r="L225" s="25">
        <v>8568.7999999999993</v>
      </c>
    </row>
    <row r="226" spans="1:12">
      <c r="A226" s="25">
        <v>1225</v>
      </c>
      <c r="B226" s="25" t="s">
        <v>113</v>
      </c>
      <c r="C226" s="25" t="s">
        <v>133</v>
      </c>
      <c r="D226" s="25" t="s">
        <v>121</v>
      </c>
      <c r="E226" s="25" t="s">
        <v>116</v>
      </c>
      <c r="F226" s="25" t="s">
        <v>144</v>
      </c>
      <c r="G226" s="25">
        <v>6</v>
      </c>
      <c r="H226" s="25">
        <v>37332</v>
      </c>
      <c r="I226" s="25" t="s">
        <v>129</v>
      </c>
      <c r="J226" s="26">
        <v>45151</v>
      </c>
      <c r="K226" s="25">
        <v>223992</v>
      </c>
      <c r="L226" s="25">
        <v>7466.4</v>
      </c>
    </row>
    <row r="227" spans="1:12">
      <c r="A227" s="25">
        <v>1226</v>
      </c>
      <c r="B227" s="25" t="s">
        <v>135</v>
      </c>
      <c r="C227" s="25" t="s">
        <v>133</v>
      </c>
      <c r="D227" s="25" t="s">
        <v>121</v>
      </c>
      <c r="E227" s="25" t="s">
        <v>131</v>
      </c>
      <c r="F227" s="25" t="s">
        <v>140</v>
      </c>
      <c r="G227" s="25">
        <v>9</v>
      </c>
      <c r="H227" s="25">
        <v>35157</v>
      </c>
      <c r="I227" s="25" t="s">
        <v>129</v>
      </c>
      <c r="J227" s="26">
        <v>45152</v>
      </c>
      <c r="K227" s="25">
        <v>316413</v>
      </c>
      <c r="L227" s="25">
        <v>7031.4</v>
      </c>
    </row>
    <row r="228" spans="1:12">
      <c r="A228" s="25">
        <v>1227</v>
      </c>
      <c r="B228" s="25" t="s">
        <v>136</v>
      </c>
      <c r="C228" s="25" t="s">
        <v>120</v>
      </c>
      <c r="D228" s="25" t="s">
        <v>121</v>
      </c>
      <c r="E228" s="25" t="s">
        <v>122</v>
      </c>
      <c r="F228" s="25" t="s">
        <v>123</v>
      </c>
      <c r="G228" s="25">
        <v>5</v>
      </c>
      <c r="H228" s="25">
        <v>12593</v>
      </c>
      <c r="I228" s="25" t="s">
        <v>118</v>
      </c>
      <c r="J228" s="26">
        <v>45153</v>
      </c>
      <c r="K228" s="25">
        <v>62965</v>
      </c>
      <c r="L228" s="25">
        <v>2518.6</v>
      </c>
    </row>
    <row r="229" spans="1:12">
      <c r="A229" s="25">
        <v>1228</v>
      </c>
      <c r="B229" s="25" t="s">
        <v>113</v>
      </c>
      <c r="C229" s="25" t="s">
        <v>114</v>
      </c>
      <c r="D229" s="25" t="s">
        <v>138</v>
      </c>
      <c r="E229" s="25" t="s">
        <v>122</v>
      </c>
      <c r="F229" s="25" t="s">
        <v>117</v>
      </c>
      <c r="G229" s="25">
        <v>3</v>
      </c>
      <c r="H229" s="25">
        <v>41042</v>
      </c>
      <c r="I229" s="25" t="s">
        <v>129</v>
      </c>
      <c r="J229" s="26">
        <v>45154</v>
      </c>
      <c r="K229" s="25">
        <v>123126</v>
      </c>
      <c r="L229" s="25">
        <v>8208.4</v>
      </c>
    </row>
    <row r="230" spans="1:12">
      <c r="A230" s="25">
        <v>1229</v>
      </c>
      <c r="B230" s="25" t="s">
        <v>135</v>
      </c>
      <c r="C230" s="25" t="s">
        <v>114</v>
      </c>
      <c r="D230" s="25" t="s">
        <v>121</v>
      </c>
      <c r="E230" s="25" t="s">
        <v>116</v>
      </c>
      <c r="F230" s="25" t="s">
        <v>132</v>
      </c>
      <c r="G230" s="25">
        <v>3</v>
      </c>
      <c r="H230" s="25">
        <v>18320</v>
      </c>
      <c r="I230" s="25" t="s">
        <v>118</v>
      </c>
      <c r="J230" s="26">
        <v>45155</v>
      </c>
      <c r="K230" s="25">
        <v>54960</v>
      </c>
      <c r="L230" s="25">
        <v>3664</v>
      </c>
    </row>
    <row r="231" spans="1:12">
      <c r="A231" s="25">
        <v>1230</v>
      </c>
      <c r="B231" s="25" t="s">
        <v>146</v>
      </c>
      <c r="C231" s="25" t="s">
        <v>139</v>
      </c>
      <c r="D231" s="25" t="s">
        <v>121</v>
      </c>
      <c r="E231" s="25" t="s">
        <v>127</v>
      </c>
      <c r="F231" s="25" t="s">
        <v>117</v>
      </c>
      <c r="G231" s="25">
        <v>1</v>
      </c>
      <c r="H231" s="25">
        <v>28376</v>
      </c>
      <c r="I231" s="25" t="s">
        <v>129</v>
      </c>
      <c r="J231" s="26">
        <v>45156</v>
      </c>
      <c r="K231" s="25">
        <v>28376</v>
      </c>
      <c r="L231" s="25">
        <v>5675.2</v>
      </c>
    </row>
    <row r="232" spans="1:12">
      <c r="A232" s="25">
        <v>1231</v>
      </c>
      <c r="B232" s="25" t="s">
        <v>119</v>
      </c>
      <c r="C232" s="25" t="s">
        <v>139</v>
      </c>
      <c r="D232" s="25" t="s">
        <v>121</v>
      </c>
      <c r="E232" s="25" t="s">
        <v>131</v>
      </c>
      <c r="F232" s="25" t="s">
        <v>141</v>
      </c>
      <c r="G232" s="25">
        <v>8</v>
      </c>
      <c r="H232" s="25">
        <v>44513</v>
      </c>
      <c r="I232" s="25" t="s">
        <v>129</v>
      </c>
      <c r="J232" s="26">
        <v>45157</v>
      </c>
      <c r="K232" s="25">
        <v>356104</v>
      </c>
      <c r="L232" s="25">
        <v>8902.6</v>
      </c>
    </row>
    <row r="233" spans="1:12">
      <c r="A233" s="25">
        <v>1232</v>
      </c>
      <c r="B233" s="25" t="s">
        <v>145</v>
      </c>
      <c r="C233" s="25" t="s">
        <v>126</v>
      </c>
      <c r="D233" s="25" t="s">
        <v>134</v>
      </c>
      <c r="E233" s="25" t="s">
        <v>116</v>
      </c>
      <c r="F233" s="25" t="s">
        <v>132</v>
      </c>
      <c r="G233" s="25">
        <v>2</v>
      </c>
      <c r="H233" s="25">
        <v>15199</v>
      </c>
      <c r="I233" s="25" t="s">
        <v>118</v>
      </c>
      <c r="J233" s="26">
        <v>45158</v>
      </c>
      <c r="K233" s="25">
        <v>30398</v>
      </c>
      <c r="L233" s="25">
        <v>3039.8</v>
      </c>
    </row>
    <row r="234" spans="1:12">
      <c r="A234" s="25">
        <v>1233</v>
      </c>
      <c r="B234" s="25" t="s">
        <v>14</v>
      </c>
      <c r="C234" s="25" t="s">
        <v>133</v>
      </c>
      <c r="D234" s="25" t="s">
        <v>138</v>
      </c>
      <c r="E234" s="25" t="s">
        <v>131</v>
      </c>
      <c r="F234" s="25" t="s">
        <v>141</v>
      </c>
      <c r="G234" s="25">
        <v>3</v>
      </c>
      <c r="H234" s="25">
        <v>16876</v>
      </c>
      <c r="I234" s="25" t="s">
        <v>118</v>
      </c>
      <c r="J234" s="26">
        <v>45159</v>
      </c>
      <c r="K234" s="25">
        <v>50628</v>
      </c>
      <c r="L234" s="25">
        <v>3375.2</v>
      </c>
    </row>
    <row r="235" spans="1:12">
      <c r="A235" s="25">
        <v>1234</v>
      </c>
      <c r="B235" s="25" t="s">
        <v>145</v>
      </c>
      <c r="C235" s="25" t="s">
        <v>137</v>
      </c>
      <c r="D235" s="25" t="s">
        <v>121</v>
      </c>
      <c r="E235" s="25" t="s">
        <v>122</v>
      </c>
      <c r="F235" s="25" t="s">
        <v>144</v>
      </c>
      <c r="G235" s="25">
        <v>8</v>
      </c>
      <c r="H235" s="25">
        <v>9245</v>
      </c>
      <c r="I235" s="25" t="s">
        <v>124</v>
      </c>
      <c r="J235" s="26">
        <v>45160</v>
      </c>
      <c r="K235" s="25">
        <v>73960</v>
      </c>
      <c r="L235" s="25">
        <v>1849</v>
      </c>
    </row>
    <row r="236" spans="1:12">
      <c r="A236" s="25">
        <v>1235</v>
      </c>
      <c r="B236" s="25" t="s">
        <v>130</v>
      </c>
      <c r="C236" s="25" t="s">
        <v>120</v>
      </c>
      <c r="D236" s="25" t="s">
        <v>115</v>
      </c>
      <c r="E236" s="25" t="s">
        <v>122</v>
      </c>
      <c r="F236" s="25" t="s">
        <v>140</v>
      </c>
      <c r="G236" s="25">
        <v>8</v>
      </c>
      <c r="H236" s="25">
        <v>8214</v>
      </c>
      <c r="I236" s="25" t="s">
        <v>124</v>
      </c>
      <c r="J236" s="26">
        <v>45161</v>
      </c>
      <c r="K236" s="25">
        <v>65712</v>
      </c>
      <c r="L236" s="25">
        <v>1642.8</v>
      </c>
    </row>
    <row r="237" spans="1:12">
      <c r="A237" s="25">
        <v>1236</v>
      </c>
      <c r="B237" s="25" t="s">
        <v>130</v>
      </c>
      <c r="C237" s="25" t="s">
        <v>139</v>
      </c>
      <c r="D237" s="25" t="s">
        <v>115</v>
      </c>
      <c r="E237" s="25" t="s">
        <v>127</v>
      </c>
      <c r="F237" s="25" t="s">
        <v>144</v>
      </c>
      <c r="G237" s="25">
        <v>4</v>
      </c>
      <c r="H237" s="25">
        <v>1726</v>
      </c>
      <c r="I237" s="25" t="s">
        <v>124</v>
      </c>
      <c r="J237" s="26">
        <v>45162</v>
      </c>
      <c r="K237" s="25">
        <v>6904</v>
      </c>
      <c r="L237" s="25">
        <v>345.2</v>
      </c>
    </row>
    <row r="238" spans="1:12">
      <c r="A238" s="25">
        <v>1237</v>
      </c>
      <c r="B238" s="25" t="s">
        <v>113</v>
      </c>
      <c r="C238" s="25" t="s">
        <v>133</v>
      </c>
      <c r="D238" s="25" t="s">
        <v>115</v>
      </c>
      <c r="E238" s="25" t="s">
        <v>122</v>
      </c>
      <c r="F238" s="25" t="s">
        <v>143</v>
      </c>
      <c r="G238" s="25">
        <v>4</v>
      </c>
      <c r="H238" s="25">
        <v>47600</v>
      </c>
      <c r="I238" s="25" t="s">
        <v>129</v>
      </c>
      <c r="J238" s="26">
        <v>45163</v>
      </c>
      <c r="K238" s="25">
        <v>190400</v>
      </c>
      <c r="L238" s="25">
        <v>9520</v>
      </c>
    </row>
    <row r="239" spans="1:12">
      <c r="A239" s="25">
        <v>1238</v>
      </c>
      <c r="B239" s="25" t="s">
        <v>146</v>
      </c>
      <c r="C239" s="25" t="s">
        <v>137</v>
      </c>
      <c r="D239" s="25" t="s">
        <v>138</v>
      </c>
      <c r="E239" s="25" t="s">
        <v>122</v>
      </c>
      <c r="F239" s="25" t="s">
        <v>143</v>
      </c>
      <c r="G239" s="25">
        <v>5</v>
      </c>
      <c r="H239" s="25">
        <v>12362</v>
      </c>
      <c r="I239" s="25" t="s">
        <v>118</v>
      </c>
      <c r="J239" s="26">
        <v>45164</v>
      </c>
      <c r="K239" s="25">
        <v>61810</v>
      </c>
      <c r="L239" s="25">
        <v>2472.4</v>
      </c>
    </row>
    <row r="240" spans="1:12">
      <c r="A240" s="25">
        <v>1239</v>
      </c>
      <c r="B240" s="25" t="s">
        <v>146</v>
      </c>
      <c r="C240" s="25" t="s">
        <v>114</v>
      </c>
      <c r="D240" s="25" t="s">
        <v>138</v>
      </c>
      <c r="E240" s="25" t="s">
        <v>116</v>
      </c>
      <c r="F240" s="25" t="s">
        <v>144</v>
      </c>
      <c r="G240" s="25">
        <v>6</v>
      </c>
      <c r="H240" s="25">
        <v>19297</v>
      </c>
      <c r="I240" s="25" t="s">
        <v>118</v>
      </c>
      <c r="J240" s="26">
        <v>45165</v>
      </c>
      <c r="K240" s="25">
        <v>115782</v>
      </c>
      <c r="L240" s="25">
        <v>3859.4</v>
      </c>
    </row>
    <row r="241" spans="1:12">
      <c r="A241" s="25">
        <v>1240</v>
      </c>
      <c r="B241" s="25" t="s">
        <v>136</v>
      </c>
      <c r="C241" s="25" t="s">
        <v>133</v>
      </c>
      <c r="D241" s="25" t="s">
        <v>115</v>
      </c>
      <c r="E241" s="25" t="s">
        <v>131</v>
      </c>
      <c r="F241" s="25" t="s">
        <v>140</v>
      </c>
      <c r="G241" s="25">
        <v>5</v>
      </c>
      <c r="H241" s="25">
        <v>31448</v>
      </c>
      <c r="I241" s="25" t="s">
        <v>129</v>
      </c>
      <c r="J241" s="26">
        <v>45166</v>
      </c>
      <c r="K241" s="25">
        <v>157240</v>
      </c>
      <c r="L241" s="25">
        <v>6289.6</v>
      </c>
    </row>
    <row r="242" spans="1:12">
      <c r="A242" s="25">
        <v>1241</v>
      </c>
      <c r="B242" s="25" t="s">
        <v>136</v>
      </c>
      <c r="C242" s="25" t="s">
        <v>114</v>
      </c>
      <c r="D242" s="25" t="s">
        <v>121</v>
      </c>
      <c r="E242" s="25" t="s">
        <v>131</v>
      </c>
      <c r="F242" s="25" t="s">
        <v>144</v>
      </c>
      <c r="G242" s="25">
        <v>7</v>
      </c>
      <c r="H242" s="25">
        <v>27172</v>
      </c>
      <c r="I242" s="25" t="s">
        <v>129</v>
      </c>
      <c r="J242" s="26">
        <v>45167</v>
      </c>
      <c r="K242" s="25">
        <v>190204</v>
      </c>
      <c r="L242" s="25">
        <v>5434.4</v>
      </c>
    </row>
    <row r="243" spans="1:12">
      <c r="A243" s="25">
        <v>1242</v>
      </c>
      <c r="B243" s="25" t="s">
        <v>136</v>
      </c>
      <c r="C243" s="25" t="s">
        <v>120</v>
      </c>
      <c r="D243" s="25" t="s">
        <v>138</v>
      </c>
      <c r="E243" s="25" t="s">
        <v>116</v>
      </c>
      <c r="F243" s="25" t="s">
        <v>140</v>
      </c>
      <c r="G243" s="25">
        <v>2</v>
      </c>
      <c r="H243" s="25">
        <v>43874</v>
      </c>
      <c r="I243" s="25" t="s">
        <v>129</v>
      </c>
      <c r="J243" s="26">
        <v>45168</v>
      </c>
      <c r="K243" s="25">
        <v>87748</v>
      </c>
      <c r="L243" s="25">
        <v>8774.7999999999993</v>
      </c>
    </row>
    <row r="244" spans="1:12">
      <c r="A244" s="25">
        <v>1243</v>
      </c>
      <c r="B244" s="25" t="s">
        <v>119</v>
      </c>
      <c r="C244" s="25" t="s">
        <v>137</v>
      </c>
      <c r="D244" s="25" t="s">
        <v>115</v>
      </c>
      <c r="E244" s="25" t="s">
        <v>127</v>
      </c>
      <c r="F244" s="25" t="s">
        <v>140</v>
      </c>
      <c r="G244" s="25">
        <v>7</v>
      </c>
      <c r="H244" s="25">
        <v>8657</v>
      </c>
      <c r="I244" s="25" t="s">
        <v>124</v>
      </c>
      <c r="J244" s="26">
        <v>45169</v>
      </c>
      <c r="K244" s="25">
        <v>60599</v>
      </c>
      <c r="L244" s="25">
        <v>1731.4</v>
      </c>
    </row>
    <row r="245" spans="1:12">
      <c r="A245" s="25">
        <v>1244</v>
      </c>
      <c r="B245" s="25" t="s">
        <v>125</v>
      </c>
      <c r="C245" s="25" t="s">
        <v>120</v>
      </c>
      <c r="D245" s="25" t="s">
        <v>115</v>
      </c>
      <c r="E245" s="25" t="s">
        <v>131</v>
      </c>
      <c r="F245" s="25" t="s">
        <v>128</v>
      </c>
      <c r="G245" s="25">
        <v>7</v>
      </c>
      <c r="H245" s="25">
        <v>19850</v>
      </c>
      <c r="I245" s="25" t="s">
        <v>118</v>
      </c>
      <c r="J245" s="26">
        <v>45170</v>
      </c>
      <c r="K245" s="25">
        <v>138950</v>
      </c>
      <c r="L245" s="25">
        <v>3970</v>
      </c>
    </row>
    <row r="246" spans="1:12">
      <c r="A246" s="25">
        <v>1245</v>
      </c>
      <c r="B246" s="25" t="s">
        <v>142</v>
      </c>
      <c r="C246" s="25" t="s">
        <v>114</v>
      </c>
      <c r="D246" s="25" t="s">
        <v>121</v>
      </c>
      <c r="E246" s="25" t="s">
        <v>122</v>
      </c>
      <c r="F246" s="25" t="s">
        <v>132</v>
      </c>
      <c r="G246" s="25">
        <v>1</v>
      </c>
      <c r="H246" s="25">
        <v>26425</v>
      </c>
      <c r="I246" s="25" t="s">
        <v>129</v>
      </c>
      <c r="J246" s="26">
        <v>45171</v>
      </c>
      <c r="K246" s="25">
        <v>26425</v>
      </c>
      <c r="L246" s="25">
        <v>5285</v>
      </c>
    </row>
    <row r="247" spans="1:12">
      <c r="A247" s="25">
        <v>1246</v>
      </c>
      <c r="B247" s="25" t="s">
        <v>125</v>
      </c>
      <c r="C247" s="25" t="s">
        <v>133</v>
      </c>
      <c r="D247" s="25" t="s">
        <v>134</v>
      </c>
      <c r="E247" s="25" t="s">
        <v>131</v>
      </c>
      <c r="F247" s="25" t="s">
        <v>123</v>
      </c>
      <c r="G247" s="25">
        <v>7</v>
      </c>
      <c r="H247" s="25">
        <v>27685</v>
      </c>
      <c r="I247" s="25" t="s">
        <v>129</v>
      </c>
      <c r="J247" s="26">
        <v>45172</v>
      </c>
      <c r="K247" s="25">
        <v>193795</v>
      </c>
      <c r="L247" s="25">
        <v>5537</v>
      </c>
    </row>
    <row r="248" spans="1:12">
      <c r="A248" s="25">
        <v>1247</v>
      </c>
      <c r="B248" s="25" t="s">
        <v>145</v>
      </c>
      <c r="C248" s="25" t="s">
        <v>120</v>
      </c>
      <c r="D248" s="25" t="s">
        <v>138</v>
      </c>
      <c r="E248" s="25" t="s">
        <v>122</v>
      </c>
      <c r="F248" s="25" t="s">
        <v>140</v>
      </c>
      <c r="G248" s="25">
        <v>5</v>
      </c>
      <c r="H248" s="25">
        <v>48319</v>
      </c>
      <c r="I248" s="25" t="s">
        <v>129</v>
      </c>
      <c r="J248" s="26">
        <v>45173</v>
      </c>
      <c r="K248" s="25">
        <v>241595</v>
      </c>
      <c r="L248" s="25">
        <v>9663.7999999999993</v>
      </c>
    </row>
    <row r="249" spans="1:12">
      <c r="A249" s="25">
        <v>1248</v>
      </c>
      <c r="B249" s="25" t="s">
        <v>125</v>
      </c>
      <c r="C249" s="25" t="s">
        <v>126</v>
      </c>
      <c r="D249" s="25" t="s">
        <v>121</v>
      </c>
      <c r="E249" s="25" t="s">
        <v>127</v>
      </c>
      <c r="F249" s="25" t="s">
        <v>141</v>
      </c>
      <c r="G249" s="25">
        <v>3</v>
      </c>
      <c r="H249" s="25">
        <v>25578</v>
      </c>
      <c r="I249" s="25" t="s">
        <v>129</v>
      </c>
      <c r="J249" s="26">
        <v>45174</v>
      </c>
      <c r="K249" s="25">
        <v>76734</v>
      </c>
      <c r="L249" s="25">
        <v>5115.6000000000004</v>
      </c>
    </row>
    <row r="250" spans="1:12">
      <c r="A250" s="25">
        <v>1249</v>
      </c>
      <c r="B250" s="25" t="s">
        <v>119</v>
      </c>
      <c r="C250" s="25" t="s">
        <v>139</v>
      </c>
      <c r="D250" s="25" t="s">
        <v>115</v>
      </c>
      <c r="E250" s="25" t="s">
        <v>116</v>
      </c>
      <c r="F250" s="25" t="s">
        <v>140</v>
      </c>
      <c r="G250" s="25">
        <v>3</v>
      </c>
      <c r="H250" s="25">
        <v>29831</v>
      </c>
      <c r="I250" s="25" t="s">
        <v>129</v>
      </c>
      <c r="J250" s="26">
        <v>45175</v>
      </c>
      <c r="K250" s="25">
        <v>89493</v>
      </c>
      <c r="L250" s="25">
        <v>5966.2</v>
      </c>
    </row>
    <row r="251" spans="1:12">
      <c r="A251" s="25">
        <v>1250</v>
      </c>
      <c r="B251" s="25" t="s">
        <v>145</v>
      </c>
      <c r="C251" s="25" t="s">
        <v>114</v>
      </c>
      <c r="D251" s="25" t="s">
        <v>115</v>
      </c>
      <c r="E251" s="25" t="s">
        <v>131</v>
      </c>
      <c r="F251" s="25" t="s">
        <v>140</v>
      </c>
      <c r="G251" s="25">
        <v>4</v>
      </c>
      <c r="H251" s="25">
        <v>8906</v>
      </c>
      <c r="I251" s="25" t="s">
        <v>124</v>
      </c>
      <c r="J251" s="26">
        <v>45176</v>
      </c>
      <c r="K251" s="25">
        <v>35624</v>
      </c>
      <c r="L251" s="25">
        <v>1781.2</v>
      </c>
    </row>
    <row r="252" spans="1:12">
      <c r="A252" s="25">
        <v>1251</v>
      </c>
      <c r="B252" s="25" t="s">
        <v>125</v>
      </c>
      <c r="C252" s="25" t="s">
        <v>114</v>
      </c>
      <c r="D252" s="25" t="s">
        <v>121</v>
      </c>
      <c r="E252" s="25" t="s">
        <v>116</v>
      </c>
      <c r="F252" s="25" t="s">
        <v>140</v>
      </c>
      <c r="G252" s="25">
        <v>2</v>
      </c>
      <c r="H252" s="25">
        <v>8287</v>
      </c>
      <c r="I252" s="25" t="s">
        <v>124</v>
      </c>
      <c r="J252" s="26">
        <v>45177</v>
      </c>
      <c r="K252" s="25">
        <v>16574</v>
      </c>
      <c r="L252" s="25">
        <v>1657.4</v>
      </c>
    </row>
    <row r="253" spans="1:12">
      <c r="A253" s="25">
        <v>1252</v>
      </c>
      <c r="B253" s="25" t="s">
        <v>119</v>
      </c>
      <c r="C253" s="25" t="s">
        <v>133</v>
      </c>
      <c r="D253" s="25" t="s">
        <v>138</v>
      </c>
      <c r="E253" s="25" t="s">
        <v>131</v>
      </c>
      <c r="F253" s="25" t="s">
        <v>128</v>
      </c>
      <c r="G253" s="25">
        <v>2</v>
      </c>
      <c r="H253" s="25">
        <v>34660</v>
      </c>
      <c r="I253" s="25" t="s">
        <v>129</v>
      </c>
      <c r="J253" s="26">
        <v>45178</v>
      </c>
      <c r="K253" s="25">
        <v>69320</v>
      </c>
      <c r="L253" s="25">
        <v>6932</v>
      </c>
    </row>
    <row r="254" spans="1:12">
      <c r="A254" s="25">
        <v>1253</v>
      </c>
      <c r="B254" s="25" t="s">
        <v>142</v>
      </c>
      <c r="C254" s="25" t="s">
        <v>120</v>
      </c>
      <c r="D254" s="25" t="s">
        <v>134</v>
      </c>
      <c r="E254" s="25" t="s">
        <v>122</v>
      </c>
      <c r="F254" s="25" t="s">
        <v>132</v>
      </c>
      <c r="G254" s="25">
        <v>1</v>
      </c>
      <c r="H254" s="25">
        <v>11222</v>
      </c>
      <c r="I254" s="25" t="s">
        <v>118</v>
      </c>
      <c r="J254" s="26">
        <v>45179</v>
      </c>
      <c r="K254" s="25">
        <v>11222</v>
      </c>
      <c r="L254" s="25">
        <v>2244.4</v>
      </c>
    </row>
    <row r="255" spans="1:12">
      <c r="A255" s="25">
        <v>1254</v>
      </c>
      <c r="B255" s="25" t="s">
        <v>125</v>
      </c>
      <c r="C255" s="25" t="s">
        <v>120</v>
      </c>
      <c r="D255" s="25" t="s">
        <v>134</v>
      </c>
      <c r="E255" s="25" t="s">
        <v>116</v>
      </c>
      <c r="F255" s="25" t="s">
        <v>128</v>
      </c>
      <c r="G255" s="25">
        <v>5</v>
      </c>
      <c r="H255" s="25">
        <v>38443</v>
      </c>
      <c r="I255" s="25" t="s">
        <v>129</v>
      </c>
      <c r="J255" s="26">
        <v>45180</v>
      </c>
      <c r="K255" s="25">
        <v>192215</v>
      </c>
      <c r="L255" s="25">
        <v>7688.6</v>
      </c>
    </row>
    <row r="256" spans="1:12">
      <c r="A256" s="25">
        <v>1255</v>
      </c>
      <c r="B256" s="25" t="s">
        <v>119</v>
      </c>
      <c r="C256" s="25" t="s">
        <v>126</v>
      </c>
      <c r="D256" s="25" t="s">
        <v>115</v>
      </c>
      <c r="E256" s="25" t="s">
        <v>131</v>
      </c>
      <c r="F256" s="25" t="s">
        <v>143</v>
      </c>
      <c r="G256" s="25">
        <v>4</v>
      </c>
      <c r="H256" s="25">
        <v>35701</v>
      </c>
      <c r="I256" s="25" t="s">
        <v>129</v>
      </c>
      <c r="J256" s="26">
        <v>45181</v>
      </c>
      <c r="K256" s="25">
        <v>142804</v>
      </c>
      <c r="L256" s="25">
        <v>7140.2</v>
      </c>
    </row>
    <row r="257" spans="1:12">
      <c r="A257" s="25">
        <v>1256</v>
      </c>
      <c r="B257" s="25" t="s">
        <v>136</v>
      </c>
      <c r="C257" s="25" t="s">
        <v>133</v>
      </c>
      <c r="D257" s="25" t="s">
        <v>138</v>
      </c>
      <c r="E257" s="25" t="s">
        <v>122</v>
      </c>
      <c r="F257" s="25" t="s">
        <v>128</v>
      </c>
      <c r="G257" s="25">
        <v>2</v>
      </c>
      <c r="H257" s="25">
        <v>18764</v>
      </c>
      <c r="I257" s="25" t="s">
        <v>118</v>
      </c>
      <c r="J257" s="26">
        <v>45182</v>
      </c>
      <c r="K257" s="25">
        <v>37528</v>
      </c>
      <c r="L257" s="25">
        <v>3752.8</v>
      </c>
    </row>
    <row r="258" spans="1:12">
      <c r="A258" s="25">
        <v>1257</v>
      </c>
      <c r="B258" s="25" t="s">
        <v>146</v>
      </c>
      <c r="C258" s="25" t="s">
        <v>139</v>
      </c>
      <c r="D258" s="25" t="s">
        <v>134</v>
      </c>
      <c r="E258" s="25" t="s">
        <v>116</v>
      </c>
      <c r="F258" s="25" t="s">
        <v>141</v>
      </c>
      <c r="G258" s="25">
        <v>3</v>
      </c>
      <c r="H258" s="25">
        <v>45641</v>
      </c>
      <c r="I258" s="25" t="s">
        <v>129</v>
      </c>
      <c r="J258" s="26">
        <v>45183</v>
      </c>
      <c r="K258" s="25">
        <v>136923</v>
      </c>
      <c r="L258" s="25">
        <v>9128.2000000000007</v>
      </c>
    </row>
    <row r="259" spans="1:12">
      <c r="A259" s="25">
        <v>1258</v>
      </c>
      <c r="B259" s="25" t="s">
        <v>136</v>
      </c>
      <c r="C259" s="25" t="s">
        <v>133</v>
      </c>
      <c r="D259" s="25" t="s">
        <v>138</v>
      </c>
      <c r="E259" s="25" t="s">
        <v>116</v>
      </c>
      <c r="F259" s="25" t="s">
        <v>141</v>
      </c>
      <c r="G259" s="25">
        <v>7</v>
      </c>
      <c r="H259" s="25">
        <v>18674</v>
      </c>
      <c r="I259" s="25" t="s">
        <v>118</v>
      </c>
      <c r="J259" s="26">
        <v>45184</v>
      </c>
      <c r="K259" s="25">
        <v>130718</v>
      </c>
      <c r="L259" s="25">
        <v>3734.8</v>
      </c>
    </row>
    <row r="260" spans="1:12">
      <c r="A260" s="25">
        <v>1259</v>
      </c>
      <c r="B260" s="25" t="s">
        <v>146</v>
      </c>
      <c r="C260" s="25" t="s">
        <v>139</v>
      </c>
      <c r="D260" s="25" t="s">
        <v>138</v>
      </c>
      <c r="E260" s="25" t="s">
        <v>131</v>
      </c>
      <c r="F260" s="25" t="s">
        <v>128</v>
      </c>
      <c r="G260" s="25">
        <v>7</v>
      </c>
      <c r="H260" s="25">
        <v>19024</v>
      </c>
      <c r="I260" s="25" t="s">
        <v>118</v>
      </c>
      <c r="J260" s="26">
        <v>45185</v>
      </c>
      <c r="K260" s="25">
        <v>133168</v>
      </c>
      <c r="L260" s="25">
        <v>3804.8</v>
      </c>
    </row>
    <row r="261" spans="1:12">
      <c r="A261" s="25">
        <v>1260</v>
      </c>
      <c r="B261" s="25" t="s">
        <v>14</v>
      </c>
      <c r="C261" s="25" t="s">
        <v>133</v>
      </c>
      <c r="D261" s="25" t="s">
        <v>115</v>
      </c>
      <c r="E261" s="25" t="s">
        <v>131</v>
      </c>
      <c r="F261" s="25" t="s">
        <v>132</v>
      </c>
      <c r="G261" s="25">
        <v>4</v>
      </c>
      <c r="H261" s="25">
        <v>47007</v>
      </c>
      <c r="I261" s="25" t="s">
        <v>129</v>
      </c>
      <c r="J261" s="26">
        <v>45186</v>
      </c>
      <c r="K261" s="25">
        <v>188028</v>
      </c>
      <c r="L261" s="25">
        <v>9401.4</v>
      </c>
    </row>
    <row r="262" spans="1:12">
      <c r="A262" s="25">
        <v>1261</v>
      </c>
      <c r="B262" s="25" t="s">
        <v>14</v>
      </c>
      <c r="C262" s="25" t="s">
        <v>133</v>
      </c>
      <c r="D262" s="25" t="s">
        <v>134</v>
      </c>
      <c r="E262" s="25" t="s">
        <v>131</v>
      </c>
      <c r="F262" s="25" t="s">
        <v>144</v>
      </c>
      <c r="G262" s="25">
        <v>5</v>
      </c>
      <c r="H262" s="25">
        <v>24874</v>
      </c>
      <c r="I262" s="25" t="s">
        <v>118</v>
      </c>
      <c r="J262" s="26">
        <v>45187</v>
      </c>
      <c r="K262" s="25">
        <v>124370</v>
      </c>
      <c r="L262" s="25">
        <v>4974.8</v>
      </c>
    </row>
    <row r="263" spans="1:12">
      <c r="A263" s="25">
        <v>1262</v>
      </c>
      <c r="B263" s="25" t="s">
        <v>14</v>
      </c>
      <c r="C263" s="25" t="s">
        <v>114</v>
      </c>
      <c r="D263" s="25" t="s">
        <v>121</v>
      </c>
      <c r="E263" s="25" t="s">
        <v>122</v>
      </c>
      <c r="F263" s="25" t="s">
        <v>123</v>
      </c>
      <c r="G263" s="25">
        <v>5</v>
      </c>
      <c r="H263" s="25">
        <v>44642</v>
      </c>
      <c r="I263" s="25" t="s">
        <v>129</v>
      </c>
      <c r="J263" s="26">
        <v>45188</v>
      </c>
      <c r="K263" s="25">
        <v>223210</v>
      </c>
      <c r="L263" s="25">
        <v>8928.4</v>
      </c>
    </row>
    <row r="264" spans="1:12">
      <c r="A264" s="25">
        <v>1263</v>
      </c>
      <c r="B264" s="25" t="s">
        <v>142</v>
      </c>
      <c r="C264" s="25" t="s">
        <v>120</v>
      </c>
      <c r="D264" s="25" t="s">
        <v>115</v>
      </c>
      <c r="E264" s="25" t="s">
        <v>131</v>
      </c>
      <c r="F264" s="25" t="s">
        <v>132</v>
      </c>
      <c r="G264" s="25">
        <v>6</v>
      </c>
      <c r="H264" s="25">
        <v>33284</v>
      </c>
      <c r="I264" s="25" t="s">
        <v>129</v>
      </c>
      <c r="J264" s="26">
        <v>45189</v>
      </c>
      <c r="K264" s="25">
        <v>199704</v>
      </c>
      <c r="L264" s="25">
        <v>6656.8</v>
      </c>
    </row>
    <row r="265" spans="1:12">
      <c r="A265" s="25">
        <v>1264</v>
      </c>
      <c r="B265" s="25" t="s">
        <v>136</v>
      </c>
      <c r="C265" s="25" t="s">
        <v>120</v>
      </c>
      <c r="D265" s="25" t="s">
        <v>134</v>
      </c>
      <c r="E265" s="25" t="s">
        <v>116</v>
      </c>
      <c r="F265" s="25" t="s">
        <v>128</v>
      </c>
      <c r="G265" s="25">
        <v>9</v>
      </c>
      <c r="H265" s="25">
        <v>18602</v>
      </c>
      <c r="I265" s="25" t="s">
        <v>118</v>
      </c>
      <c r="J265" s="26">
        <v>45190</v>
      </c>
      <c r="K265" s="25">
        <v>167418</v>
      </c>
      <c r="L265" s="25">
        <v>3720.4</v>
      </c>
    </row>
    <row r="266" spans="1:12">
      <c r="A266" s="25">
        <v>1265</v>
      </c>
      <c r="B266" s="25" t="s">
        <v>146</v>
      </c>
      <c r="C266" s="25" t="s">
        <v>133</v>
      </c>
      <c r="D266" s="25" t="s">
        <v>134</v>
      </c>
      <c r="E266" s="25" t="s">
        <v>116</v>
      </c>
      <c r="F266" s="25" t="s">
        <v>140</v>
      </c>
      <c r="G266" s="25">
        <v>2</v>
      </c>
      <c r="H266" s="25">
        <v>38784</v>
      </c>
      <c r="I266" s="25" t="s">
        <v>129</v>
      </c>
      <c r="J266" s="26">
        <v>45191</v>
      </c>
      <c r="K266" s="25">
        <v>77568</v>
      </c>
      <c r="L266" s="25">
        <v>7756.8</v>
      </c>
    </row>
    <row r="267" spans="1:12">
      <c r="A267" s="25">
        <v>1266</v>
      </c>
      <c r="B267" s="25" t="s">
        <v>119</v>
      </c>
      <c r="C267" s="25" t="s">
        <v>139</v>
      </c>
      <c r="D267" s="25" t="s">
        <v>134</v>
      </c>
      <c r="E267" s="25" t="s">
        <v>131</v>
      </c>
      <c r="F267" s="25" t="s">
        <v>117</v>
      </c>
      <c r="G267" s="25">
        <v>5</v>
      </c>
      <c r="H267" s="25">
        <v>24265</v>
      </c>
      <c r="I267" s="25" t="s">
        <v>118</v>
      </c>
      <c r="J267" s="26">
        <v>45192</v>
      </c>
      <c r="K267" s="25">
        <v>121325</v>
      </c>
      <c r="L267" s="25">
        <v>4853</v>
      </c>
    </row>
    <row r="268" spans="1:12">
      <c r="A268" s="25">
        <v>1267</v>
      </c>
      <c r="B268" s="25" t="s">
        <v>145</v>
      </c>
      <c r="C268" s="25" t="s">
        <v>120</v>
      </c>
      <c r="D268" s="25" t="s">
        <v>134</v>
      </c>
      <c r="E268" s="25" t="s">
        <v>131</v>
      </c>
      <c r="F268" s="25" t="s">
        <v>123</v>
      </c>
      <c r="G268" s="25">
        <v>3</v>
      </c>
      <c r="H268" s="25">
        <v>26931</v>
      </c>
      <c r="I268" s="25" t="s">
        <v>129</v>
      </c>
      <c r="J268" s="26">
        <v>45193</v>
      </c>
      <c r="K268" s="25">
        <v>80793</v>
      </c>
      <c r="L268" s="25">
        <v>5386.2</v>
      </c>
    </row>
    <row r="269" spans="1:12">
      <c r="A269" s="25">
        <v>1268</v>
      </c>
      <c r="B269" s="25" t="s">
        <v>119</v>
      </c>
      <c r="C269" s="25" t="s">
        <v>137</v>
      </c>
      <c r="D269" s="25" t="s">
        <v>134</v>
      </c>
      <c r="E269" s="25" t="s">
        <v>127</v>
      </c>
      <c r="F269" s="25" t="s">
        <v>123</v>
      </c>
      <c r="G269" s="25">
        <v>4</v>
      </c>
      <c r="H269" s="25">
        <v>29841</v>
      </c>
      <c r="I269" s="25" t="s">
        <v>129</v>
      </c>
      <c r="J269" s="26">
        <v>45194</v>
      </c>
      <c r="K269" s="25">
        <v>119364</v>
      </c>
      <c r="L269" s="25">
        <v>5968.2</v>
      </c>
    </row>
    <row r="270" spans="1:12">
      <c r="A270" s="25">
        <v>1269</v>
      </c>
      <c r="B270" s="25" t="s">
        <v>145</v>
      </c>
      <c r="C270" s="25" t="s">
        <v>114</v>
      </c>
      <c r="D270" s="25" t="s">
        <v>138</v>
      </c>
      <c r="E270" s="25" t="s">
        <v>116</v>
      </c>
      <c r="F270" s="25" t="s">
        <v>141</v>
      </c>
      <c r="G270" s="25">
        <v>6</v>
      </c>
      <c r="H270" s="25">
        <v>30192</v>
      </c>
      <c r="I270" s="25" t="s">
        <v>129</v>
      </c>
      <c r="J270" s="26">
        <v>45195</v>
      </c>
      <c r="K270" s="25">
        <v>181152</v>
      </c>
      <c r="L270" s="25">
        <v>6038.4</v>
      </c>
    </row>
    <row r="271" spans="1:12">
      <c r="A271" s="25">
        <v>1270</v>
      </c>
      <c r="B271" s="25" t="s">
        <v>130</v>
      </c>
      <c r="C271" s="25" t="s">
        <v>120</v>
      </c>
      <c r="D271" s="25" t="s">
        <v>115</v>
      </c>
      <c r="E271" s="25" t="s">
        <v>122</v>
      </c>
      <c r="F271" s="25" t="s">
        <v>123</v>
      </c>
      <c r="G271" s="25">
        <v>8</v>
      </c>
      <c r="H271" s="25">
        <v>47542</v>
      </c>
      <c r="I271" s="25" t="s">
        <v>129</v>
      </c>
      <c r="J271" s="26">
        <v>45196</v>
      </c>
      <c r="K271" s="25">
        <v>380336</v>
      </c>
      <c r="L271" s="25">
        <v>9508.4</v>
      </c>
    </row>
    <row r="272" spans="1:12">
      <c r="A272" s="25">
        <v>1271</v>
      </c>
      <c r="B272" s="25" t="s">
        <v>119</v>
      </c>
      <c r="C272" s="25" t="s">
        <v>139</v>
      </c>
      <c r="D272" s="25" t="s">
        <v>138</v>
      </c>
      <c r="E272" s="25" t="s">
        <v>127</v>
      </c>
      <c r="F272" s="25" t="s">
        <v>128</v>
      </c>
      <c r="G272" s="25">
        <v>1</v>
      </c>
      <c r="H272" s="25">
        <v>43520</v>
      </c>
      <c r="I272" s="25" t="s">
        <v>129</v>
      </c>
      <c r="J272" s="26">
        <v>45197</v>
      </c>
      <c r="K272" s="25">
        <v>43520</v>
      </c>
      <c r="L272" s="25">
        <v>8704</v>
      </c>
    </row>
    <row r="273" spans="1:12">
      <c r="A273" s="25">
        <v>1272</v>
      </c>
      <c r="B273" s="25" t="s">
        <v>125</v>
      </c>
      <c r="C273" s="25" t="s">
        <v>114</v>
      </c>
      <c r="D273" s="25" t="s">
        <v>121</v>
      </c>
      <c r="E273" s="25" t="s">
        <v>131</v>
      </c>
      <c r="F273" s="25" t="s">
        <v>140</v>
      </c>
      <c r="G273" s="25">
        <v>8</v>
      </c>
      <c r="H273" s="25">
        <v>16585</v>
      </c>
      <c r="I273" s="25" t="s">
        <v>118</v>
      </c>
      <c r="J273" s="26">
        <v>45198</v>
      </c>
      <c r="K273" s="25">
        <v>132680</v>
      </c>
      <c r="L273" s="25">
        <v>3317</v>
      </c>
    </row>
    <row r="274" spans="1:12">
      <c r="A274" s="25">
        <v>1273</v>
      </c>
      <c r="B274" s="25" t="s">
        <v>125</v>
      </c>
      <c r="C274" s="25" t="s">
        <v>126</v>
      </c>
      <c r="D274" s="25" t="s">
        <v>134</v>
      </c>
      <c r="E274" s="25" t="s">
        <v>131</v>
      </c>
      <c r="F274" s="25" t="s">
        <v>140</v>
      </c>
      <c r="G274" s="25">
        <v>7</v>
      </c>
      <c r="H274" s="25">
        <v>26559</v>
      </c>
      <c r="I274" s="25" t="s">
        <v>129</v>
      </c>
      <c r="J274" s="26">
        <v>45199</v>
      </c>
      <c r="K274" s="25">
        <v>185913</v>
      </c>
      <c r="L274" s="25">
        <v>5311.8</v>
      </c>
    </row>
    <row r="275" spans="1:12">
      <c r="A275" s="25">
        <v>1274</v>
      </c>
      <c r="B275" s="25" t="s">
        <v>113</v>
      </c>
      <c r="C275" s="25" t="s">
        <v>139</v>
      </c>
      <c r="D275" s="25" t="s">
        <v>115</v>
      </c>
      <c r="E275" s="25" t="s">
        <v>116</v>
      </c>
      <c r="F275" s="25" t="s">
        <v>143</v>
      </c>
      <c r="G275" s="25">
        <v>1</v>
      </c>
      <c r="H275" s="25">
        <v>41059</v>
      </c>
      <c r="I275" s="25" t="s">
        <v>129</v>
      </c>
      <c r="J275" s="26">
        <v>45200</v>
      </c>
      <c r="K275" s="25">
        <v>41059</v>
      </c>
      <c r="L275" s="25">
        <v>8211.7999999999993</v>
      </c>
    </row>
    <row r="276" spans="1:12">
      <c r="A276" s="25">
        <v>1275</v>
      </c>
      <c r="B276" s="25" t="s">
        <v>136</v>
      </c>
      <c r="C276" s="25" t="s">
        <v>139</v>
      </c>
      <c r="D276" s="25" t="s">
        <v>134</v>
      </c>
      <c r="E276" s="25" t="s">
        <v>131</v>
      </c>
      <c r="F276" s="25" t="s">
        <v>140</v>
      </c>
      <c r="G276" s="25">
        <v>2</v>
      </c>
      <c r="H276" s="25">
        <v>34742</v>
      </c>
      <c r="I276" s="25" t="s">
        <v>129</v>
      </c>
      <c r="J276" s="26">
        <v>45201</v>
      </c>
      <c r="K276" s="25">
        <v>69484</v>
      </c>
      <c r="L276" s="25">
        <v>6948.4</v>
      </c>
    </row>
    <row r="277" spans="1:12">
      <c r="A277" s="25">
        <v>1276</v>
      </c>
      <c r="B277" s="25" t="s">
        <v>145</v>
      </c>
      <c r="C277" s="25" t="s">
        <v>137</v>
      </c>
      <c r="D277" s="25" t="s">
        <v>115</v>
      </c>
      <c r="E277" s="25" t="s">
        <v>122</v>
      </c>
      <c r="F277" s="25" t="s">
        <v>132</v>
      </c>
      <c r="G277" s="25">
        <v>3</v>
      </c>
      <c r="H277" s="25">
        <v>5133</v>
      </c>
      <c r="I277" s="25" t="s">
        <v>124</v>
      </c>
      <c r="J277" s="26">
        <v>45202</v>
      </c>
      <c r="K277" s="25">
        <v>15399</v>
      </c>
      <c r="L277" s="25">
        <v>1026.5999999999999</v>
      </c>
    </row>
    <row r="278" spans="1:12">
      <c r="A278" s="25">
        <v>1277</v>
      </c>
      <c r="B278" s="25" t="s">
        <v>145</v>
      </c>
      <c r="C278" s="25" t="s">
        <v>114</v>
      </c>
      <c r="D278" s="25" t="s">
        <v>138</v>
      </c>
      <c r="E278" s="25" t="s">
        <v>116</v>
      </c>
      <c r="F278" s="25" t="s">
        <v>140</v>
      </c>
      <c r="G278" s="25">
        <v>1</v>
      </c>
      <c r="H278" s="25">
        <v>15663</v>
      </c>
      <c r="I278" s="25" t="s">
        <v>118</v>
      </c>
      <c r="J278" s="26">
        <v>45203</v>
      </c>
      <c r="K278" s="25">
        <v>15663</v>
      </c>
      <c r="L278" s="25">
        <v>3132.6</v>
      </c>
    </row>
    <row r="279" spans="1:12">
      <c r="A279" s="25">
        <v>1278</v>
      </c>
      <c r="B279" s="25" t="s">
        <v>136</v>
      </c>
      <c r="C279" s="25" t="s">
        <v>120</v>
      </c>
      <c r="D279" s="25" t="s">
        <v>115</v>
      </c>
      <c r="E279" s="25" t="s">
        <v>131</v>
      </c>
      <c r="F279" s="25" t="s">
        <v>141</v>
      </c>
      <c r="G279" s="25">
        <v>9</v>
      </c>
      <c r="H279" s="25">
        <v>22754</v>
      </c>
      <c r="I279" s="25" t="s">
        <v>118</v>
      </c>
      <c r="J279" s="26">
        <v>45204</v>
      </c>
      <c r="K279" s="25">
        <v>204786</v>
      </c>
      <c r="L279" s="25">
        <v>4550.8</v>
      </c>
    </row>
    <row r="280" spans="1:12">
      <c r="A280" s="25">
        <v>1279</v>
      </c>
      <c r="B280" s="25" t="s">
        <v>142</v>
      </c>
      <c r="C280" s="25" t="s">
        <v>139</v>
      </c>
      <c r="D280" s="25" t="s">
        <v>121</v>
      </c>
      <c r="E280" s="25" t="s">
        <v>116</v>
      </c>
      <c r="F280" s="25" t="s">
        <v>140</v>
      </c>
      <c r="G280" s="25">
        <v>8</v>
      </c>
      <c r="H280" s="25">
        <v>4972</v>
      </c>
      <c r="I280" s="25" t="s">
        <v>124</v>
      </c>
      <c r="J280" s="26">
        <v>45205</v>
      </c>
      <c r="K280" s="25">
        <v>39776</v>
      </c>
      <c r="L280" s="25">
        <v>994.4</v>
      </c>
    </row>
    <row r="281" spans="1:12">
      <c r="A281" s="25">
        <v>1280</v>
      </c>
      <c r="B281" s="25" t="s">
        <v>113</v>
      </c>
      <c r="C281" s="25" t="s">
        <v>133</v>
      </c>
      <c r="D281" s="25" t="s">
        <v>121</v>
      </c>
      <c r="E281" s="25" t="s">
        <v>131</v>
      </c>
      <c r="F281" s="25" t="s">
        <v>143</v>
      </c>
      <c r="G281" s="25">
        <v>2</v>
      </c>
      <c r="H281" s="25">
        <v>6295</v>
      </c>
      <c r="I281" s="25" t="s">
        <v>124</v>
      </c>
      <c r="J281" s="26">
        <v>45206</v>
      </c>
      <c r="K281" s="25">
        <v>12590</v>
      </c>
      <c r="L281" s="25">
        <v>1259</v>
      </c>
    </row>
    <row r="282" spans="1:12">
      <c r="A282" s="25">
        <v>1281</v>
      </c>
      <c r="B282" s="25" t="s">
        <v>142</v>
      </c>
      <c r="C282" s="25" t="s">
        <v>114</v>
      </c>
      <c r="D282" s="25" t="s">
        <v>115</v>
      </c>
      <c r="E282" s="25" t="s">
        <v>131</v>
      </c>
      <c r="F282" s="25" t="s">
        <v>117</v>
      </c>
      <c r="G282" s="25">
        <v>9</v>
      </c>
      <c r="H282" s="25">
        <v>47681</v>
      </c>
      <c r="I282" s="25" t="s">
        <v>129</v>
      </c>
      <c r="J282" s="26">
        <v>45207</v>
      </c>
      <c r="K282" s="25">
        <v>429129</v>
      </c>
      <c r="L282" s="25">
        <v>9536.2000000000007</v>
      </c>
    </row>
    <row r="283" spans="1:12">
      <c r="A283" s="25">
        <v>1282</v>
      </c>
      <c r="B283" s="25" t="s">
        <v>142</v>
      </c>
      <c r="C283" s="25" t="s">
        <v>139</v>
      </c>
      <c r="D283" s="25" t="s">
        <v>115</v>
      </c>
      <c r="E283" s="25" t="s">
        <v>131</v>
      </c>
      <c r="F283" s="25" t="s">
        <v>128</v>
      </c>
      <c r="G283" s="25">
        <v>7</v>
      </c>
      <c r="H283" s="25">
        <v>42873</v>
      </c>
      <c r="I283" s="25" t="s">
        <v>129</v>
      </c>
      <c r="J283" s="26">
        <v>45208</v>
      </c>
      <c r="K283" s="25">
        <v>300111</v>
      </c>
      <c r="L283" s="25">
        <v>8574.6</v>
      </c>
    </row>
    <row r="284" spans="1:12">
      <c r="A284" s="25">
        <v>1283</v>
      </c>
      <c r="B284" s="25" t="s">
        <v>142</v>
      </c>
      <c r="C284" s="25" t="s">
        <v>120</v>
      </c>
      <c r="D284" s="25" t="s">
        <v>115</v>
      </c>
      <c r="E284" s="25" t="s">
        <v>122</v>
      </c>
      <c r="F284" s="25" t="s">
        <v>141</v>
      </c>
      <c r="G284" s="25">
        <v>9</v>
      </c>
      <c r="H284" s="25">
        <v>30125</v>
      </c>
      <c r="I284" s="25" t="s">
        <v>129</v>
      </c>
      <c r="J284" s="26">
        <v>45209</v>
      </c>
      <c r="K284" s="25">
        <v>271125</v>
      </c>
      <c r="L284" s="25">
        <v>6025</v>
      </c>
    </row>
    <row r="285" spans="1:12">
      <c r="A285" s="25">
        <v>1284</v>
      </c>
      <c r="B285" s="25" t="s">
        <v>136</v>
      </c>
      <c r="C285" s="25" t="s">
        <v>120</v>
      </c>
      <c r="D285" s="25" t="s">
        <v>115</v>
      </c>
      <c r="E285" s="25" t="s">
        <v>122</v>
      </c>
      <c r="F285" s="25" t="s">
        <v>132</v>
      </c>
      <c r="G285" s="25">
        <v>6</v>
      </c>
      <c r="H285" s="25">
        <v>41996</v>
      </c>
      <c r="I285" s="25" t="s">
        <v>129</v>
      </c>
      <c r="J285" s="26">
        <v>45210</v>
      </c>
      <c r="K285" s="25">
        <v>251976</v>
      </c>
      <c r="L285" s="25">
        <v>8399.2000000000007</v>
      </c>
    </row>
    <row r="286" spans="1:12">
      <c r="A286" s="25">
        <v>1285</v>
      </c>
      <c r="B286" s="25" t="s">
        <v>142</v>
      </c>
      <c r="C286" s="25" t="s">
        <v>133</v>
      </c>
      <c r="D286" s="25" t="s">
        <v>121</v>
      </c>
      <c r="E286" s="25" t="s">
        <v>116</v>
      </c>
      <c r="F286" s="25" t="s">
        <v>117</v>
      </c>
      <c r="G286" s="25">
        <v>6</v>
      </c>
      <c r="H286" s="25">
        <v>10903</v>
      </c>
      <c r="I286" s="25" t="s">
        <v>118</v>
      </c>
      <c r="J286" s="26">
        <v>45211</v>
      </c>
      <c r="K286" s="25">
        <v>65418</v>
      </c>
      <c r="L286" s="25">
        <v>2180.6</v>
      </c>
    </row>
    <row r="287" spans="1:12">
      <c r="A287" s="25">
        <v>1286</v>
      </c>
      <c r="B287" s="25" t="s">
        <v>125</v>
      </c>
      <c r="C287" s="25" t="s">
        <v>120</v>
      </c>
      <c r="D287" s="25" t="s">
        <v>134</v>
      </c>
      <c r="E287" s="25" t="s">
        <v>131</v>
      </c>
      <c r="F287" s="25" t="s">
        <v>141</v>
      </c>
      <c r="G287" s="25">
        <v>4</v>
      </c>
      <c r="H287" s="25">
        <v>4020</v>
      </c>
      <c r="I287" s="25" t="s">
        <v>124</v>
      </c>
      <c r="J287" s="26">
        <v>45212</v>
      </c>
      <c r="K287" s="25">
        <v>16080</v>
      </c>
      <c r="L287" s="25">
        <v>804</v>
      </c>
    </row>
    <row r="288" spans="1:12">
      <c r="A288" s="25">
        <v>1287</v>
      </c>
      <c r="B288" s="25" t="s">
        <v>14</v>
      </c>
      <c r="C288" s="25" t="s">
        <v>120</v>
      </c>
      <c r="D288" s="25" t="s">
        <v>115</v>
      </c>
      <c r="E288" s="25" t="s">
        <v>131</v>
      </c>
      <c r="F288" s="25" t="s">
        <v>144</v>
      </c>
      <c r="G288" s="25">
        <v>2</v>
      </c>
      <c r="H288" s="25">
        <v>42755</v>
      </c>
      <c r="I288" s="25" t="s">
        <v>129</v>
      </c>
      <c r="J288" s="26">
        <v>45213</v>
      </c>
      <c r="K288" s="25">
        <v>85510</v>
      </c>
      <c r="L288" s="25">
        <v>8551</v>
      </c>
    </row>
    <row r="289" spans="1:12">
      <c r="A289" s="25">
        <v>1288</v>
      </c>
      <c r="B289" s="25" t="s">
        <v>130</v>
      </c>
      <c r="C289" s="25" t="s">
        <v>126</v>
      </c>
      <c r="D289" s="25" t="s">
        <v>115</v>
      </c>
      <c r="E289" s="25" t="s">
        <v>122</v>
      </c>
      <c r="F289" s="25" t="s">
        <v>123</v>
      </c>
      <c r="G289" s="25">
        <v>7</v>
      </c>
      <c r="H289" s="25">
        <v>21420</v>
      </c>
      <c r="I289" s="25" t="s">
        <v>118</v>
      </c>
      <c r="J289" s="26">
        <v>45214</v>
      </c>
      <c r="K289" s="25">
        <v>149940</v>
      </c>
      <c r="L289" s="25">
        <v>4284</v>
      </c>
    </row>
    <row r="290" spans="1:12">
      <c r="A290" s="25">
        <v>1289</v>
      </c>
      <c r="B290" s="25" t="s">
        <v>145</v>
      </c>
      <c r="C290" s="25" t="s">
        <v>139</v>
      </c>
      <c r="D290" s="25" t="s">
        <v>121</v>
      </c>
      <c r="E290" s="25" t="s">
        <v>131</v>
      </c>
      <c r="F290" s="25" t="s">
        <v>144</v>
      </c>
      <c r="G290" s="25">
        <v>5</v>
      </c>
      <c r="H290" s="25">
        <v>22452</v>
      </c>
      <c r="I290" s="25" t="s">
        <v>118</v>
      </c>
      <c r="J290" s="26">
        <v>45215</v>
      </c>
      <c r="K290" s="25">
        <v>112260</v>
      </c>
      <c r="L290" s="25">
        <v>4490.3999999999996</v>
      </c>
    </row>
    <row r="291" spans="1:12">
      <c r="A291" s="25">
        <v>1290</v>
      </c>
      <c r="B291" s="25" t="s">
        <v>145</v>
      </c>
      <c r="C291" s="25" t="s">
        <v>120</v>
      </c>
      <c r="D291" s="25" t="s">
        <v>121</v>
      </c>
      <c r="E291" s="25" t="s">
        <v>122</v>
      </c>
      <c r="F291" s="25" t="s">
        <v>140</v>
      </c>
      <c r="G291" s="25">
        <v>6</v>
      </c>
      <c r="H291" s="25">
        <v>46648</v>
      </c>
      <c r="I291" s="25" t="s">
        <v>129</v>
      </c>
      <c r="J291" s="26">
        <v>45216</v>
      </c>
      <c r="K291" s="25">
        <v>279888</v>
      </c>
      <c r="L291" s="25">
        <v>9329.6</v>
      </c>
    </row>
    <row r="292" spans="1:12">
      <c r="A292" s="25">
        <v>1291</v>
      </c>
      <c r="B292" s="25" t="s">
        <v>130</v>
      </c>
      <c r="C292" s="25" t="s">
        <v>133</v>
      </c>
      <c r="D292" s="25" t="s">
        <v>138</v>
      </c>
      <c r="E292" s="25" t="s">
        <v>131</v>
      </c>
      <c r="F292" s="25" t="s">
        <v>117</v>
      </c>
      <c r="G292" s="25">
        <v>2</v>
      </c>
      <c r="H292" s="25">
        <v>39001</v>
      </c>
      <c r="I292" s="25" t="s">
        <v>129</v>
      </c>
      <c r="J292" s="26">
        <v>45217</v>
      </c>
      <c r="K292" s="25">
        <v>78002</v>
      </c>
      <c r="L292" s="25">
        <v>7800.2</v>
      </c>
    </row>
    <row r="293" spans="1:12">
      <c r="A293" s="25">
        <v>1292</v>
      </c>
      <c r="B293" s="25" t="s">
        <v>136</v>
      </c>
      <c r="C293" s="25" t="s">
        <v>133</v>
      </c>
      <c r="D293" s="25" t="s">
        <v>115</v>
      </c>
      <c r="E293" s="25" t="s">
        <v>116</v>
      </c>
      <c r="F293" s="25" t="s">
        <v>140</v>
      </c>
      <c r="G293" s="25">
        <v>5</v>
      </c>
      <c r="H293" s="25">
        <v>10516</v>
      </c>
      <c r="I293" s="25" t="s">
        <v>118</v>
      </c>
      <c r="J293" s="26">
        <v>45218</v>
      </c>
      <c r="K293" s="25">
        <v>52580</v>
      </c>
      <c r="L293" s="25">
        <v>2103.1999999999998</v>
      </c>
    </row>
    <row r="294" spans="1:12">
      <c r="A294" s="25">
        <v>1293</v>
      </c>
      <c r="B294" s="25" t="s">
        <v>119</v>
      </c>
      <c r="C294" s="25" t="s">
        <v>137</v>
      </c>
      <c r="D294" s="25" t="s">
        <v>138</v>
      </c>
      <c r="E294" s="25" t="s">
        <v>131</v>
      </c>
      <c r="F294" s="25" t="s">
        <v>123</v>
      </c>
      <c r="G294" s="25">
        <v>4</v>
      </c>
      <c r="H294" s="25">
        <v>48327</v>
      </c>
      <c r="I294" s="25" t="s">
        <v>129</v>
      </c>
      <c r="J294" s="26">
        <v>45219</v>
      </c>
      <c r="K294" s="25">
        <v>193308</v>
      </c>
      <c r="L294" s="25">
        <v>9665.4</v>
      </c>
    </row>
    <row r="295" spans="1:12">
      <c r="A295" s="25">
        <v>1294</v>
      </c>
      <c r="B295" s="25" t="s">
        <v>136</v>
      </c>
      <c r="C295" s="25" t="s">
        <v>126</v>
      </c>
      <c r="D295" s="25" t="s">
        <v>121</v>
      </c>
      <c r="E295" s="25" t="s">
        <v>131</v>
      </c>
      <c r="F295" s="25" t="s">
        <v>141</v>
      </c>
      <c r="G295" s="25">
        <v>9</v>
      </c>
      <c r="H295" s="25">
        <v>3396</v>
      </c>
      <c r="I295" s="25" t="s">
        <v>124</v>
      </c>
      <c r="J295" s="26">
        <v>45220</v>
      </c>
      <c r="K295" s="25">
        <v>30564</v>
      </c>
      <c r="L295" s="25">
        <v>679.2</v>
      </c>
    </row>
    <row r="296" spans="1:12">
      <c r="A296" s="25">
        <v>1295</v>
      </c>
      <c r="B296" s="25" t="s">
        <v>145</v>
      </c>
      <c r="C296" s="25" t="s">
        <v>133</v>
      </c>
      <c r="D296" s="25" t="s">
        <v>121</v>
      </c>
      <c r="E296" s="25" t="s">
        <v>127</v>
      </c>
      <c r="F296" s="25" t="s">
        <v>123</v>
      </c>
      <c r="G296" s="25">
        <v>6</v>
      </c>
      <c r="H296" s="25">
        <v>19546</v>
      </c>
      <c r="I296" s="25" t="s">
        <v>118</v>
      </c>
      <c r="J296" s="26">
        <v>45221</v>
      </c>
      <c r="K296" s="25">
        <v>117276</v>
      </c>
      <c r="L296" s="25">
        <v>3909.2</v>
      </c>
    </row>
    <row r="297" spans="1:12">
      <c r="A297" s="25">
        <v>1296</v>
      </c>
      <c r="B297" s="25" t="s">
        <v>145</v>
      </c>
      <c r="C297" s="25" t="s">
        <v>126</v>
      </c>
      <c r="D297" s="25" t="s">
        <v>134</v>
      </c>
      <c r="E297" s="25" t="s">
        <v>122</v>
      </c>
      <c r="F297" s="25" t="s">
        <v>143</v>
      </c>
      <c r="G297" s="25">
        <v>2</v>
      </c>
      <c r="H297" s="25">
        <v>20129</v>
      </c>
      <c r="I297" s="25" t="s">
        <v>118</v>
      </c>
      <c r="J297" s="26">
        <v>45222</v>
      </c>
      <c r="K297" s="25">
        <v>40258</v>
      </c>
      <c r="L297" s="25">
        <v>4025.8</v>
      </c>
    </row>
    <row r="298" spans="1:12">
      <c r="A298" s="25">
        <v>1297</v>
      </c>
      <c r="B298" s="25" t="s">
        <v>130</v>
      </c>
      <c r="C298" s="25" t="s">
        <v>133</v>
      </c>
      <c r="D298" s="25" t="s">
        <v>115</v>
      </c>
      <c r="E298" s="25" t="s">
        <v>131</v>
      </c>
      <c r="F298" s="25" t="s">
        <v>123</v>
      </c>
      <c r="G298" s="25">
        <v>1</v>
      </c>
      <c r="H298" s="25">
        <v>2591</v>
      </c>
      <c r="I298" s="25" t="s">
        <v>124</v>
      </c>
      <c r="J298" s="26">
        <v>45223</v>
      </c>
      <c r="K298" s="25">
        <v>2591</v>
      </c>
      <c r="L298" s="25">
        <v>518.20000000000005</v>
      </c>
    </row>
    <row r="299" spans="1:12">
      <c r="A299" s="25">
        <v>1298</v>
      </c>
      <c r="B299" s="25" t="s">
        <v>142</v>
      </c>
      <c r="C299" s="25" t="s">
        <v>137</v>
      </c>
      <c r="D299" s="25" t="s">
        <v>138</v>
      </c>
      <c r="E299" s="25" t="s">
        <v>131</v>
      </c>
      <c r="F299" s="25" t="s">
        <v>143</v>
      </c>
      <c r="G299" s="25">
        <v>5</v>
      </c>
      <c r="H299" s="25">
        <v>12303</v>
      </c>
      <c r="I299" s="25" t="s">
        <v>118</v>
      </c>
      <c r="J299" s="26">
        <v>45224</v>
      </c>
      <c r="K299" s="25">
        <v>61515</v>
      </c>
      <c r="L299" s="25">
        <v>2460.6</v>
      </c>
    </row>
    <row r="300" spans="1:12">
      <c r="A300" s="25">
        <v>1299</v>
      </c>
      <c r="B300" s="25" t="s">
        <v>136</v>
      </c>
      <c r="C300" s="25" t="s">
        <v>133</v>
      </c>
      <c r="D300" s="25" t="s">
        <v>121</v>
      </c>
      <c r="E300" s="25" t="s">
        <v>127</v>
      </c>
      <c r="F300" s="25" t="s">
        <v>123</v>
      </c>
      <c r="G300" s="25">
        <v>9</v>
      </c>
      <c r="H300" s="25">
        <v>31561</v>
      </c>
      <c r="I300" s="25" t="s">
        <v>129</v>
      </c>
      <c r="J300" s="26">
        <v>45225</v>
      </c>
      <c r="K300" s="25">
        <v>284049</v>
      </c>
      <c r="L300" s="25">
        <v>6312.2</v>
      </c>
    </row>
    <row r="301" spans="1:12">
      <c r="A301" s="25">
        <v>1300</v>
      </c>
      <c r="B301" s="25" t="s">
        <v>146</v>
      </c>
      <c r="C301" s="25" t="s">
        <v>133</v>
      </c>
      <c r="D301" s="25" t="s">
        <v>121</v>
      </c>
      <c r="E301" s="25" t="s">
        <v>127</v>
      </c>
      <c r="F301" s="25" t="s">
        <v>128</v>
      </c>
      <c r="G301" s="25">
        <v>6</v>
      </c>
      <c r="H301" s="25">
        <v>7183</v>
      </c>
      <c r="I301" s="25" t="s">
        <v>124</v>
      </c>
      <c r="J301" s="26">
        <v>45226</v>
      </c>
      <c r="K301" s="25">
        <v>43098</v>
      </c>
      <c r="L301" s="25">
        <v>1436.6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Lecture_1</vt:lpstr>
      <vt:lpstr>Lecture_2</vt:lpstr>
      <vt:lpstr>Lecture_3</vt:lpstr>
      <vt:lpstr>Lecture_4</vt:lpstr>
      <vt:lpstr>Lecture_5</vt:lpstr>
      <vt:lpstr>Lecture_6</vt:lpstr>
      <vt:lpstr>Lecture_6.1</vt:lpstr>
      <vt:lpstr>emp_2</vt:lpstr>
      <vt:lpstr>emp_scale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2025-09-29T06:44:00Z</dcterms:created>
  <dcterms:modified xsi:type="dcterms:W3CDTF">2025-10-09T07:48:48Z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3DAE20C6B1D74480AD32A366FEE78A31_12</vt:lpwstr>
  </property>
  <property fmtid="{D5CDD505-2E9C-101B-9397-08002B2CF9AE}" pid="3" name="KSOProductBuildVer">
    <vt:lpwstr>1033-12.2.0.22549</vt:lpwstr>
  </property>
</Properties>
</file>