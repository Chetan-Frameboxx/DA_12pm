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A_Maanav_10am\New folder\"/>
    </mc:Choice>
  </mc:AlternateContent>
  <xr:revisionPtr revIDLastSave="0" documentId="10_ncr:0_{9364879A-F671-437A-92AE-85C01F5C00C8}" xr6:coauthVersionLast="36" xr6:coauthVersionMax="36" xr10:uidLastSave="{00000000-0000-0000-0000-000000000000}"/>
  <bookViews>
    <workbookView xWindow="0" yWindow="0" windowWidth="28800" windowHeight="12225" activeTab="2" xr2:uid="{AD5DCE7C-4BD2-47DF-992F-6F1AFB4AC22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3" l="1"/>
  <c r="H12" i="3"/>
  <c r="G12" i="3"/>
  <c r="F12" i="3"/>
  <c r="J5" i="3"/>
  <c r="K3" i="1"/>
  <c r="G8" i="3"/>
  <c r="F6" i="3"/>
  <c r="F4" i="3"/>
  <c r="F6" i="1"/>
  <c r="J13" i="1"/>
  <c r="K13" i="1"/>
  <c r="L13" i="1"/>
  <c r="I13" i="1"/>
  <c r="G3" i="2"/>
  <c r="H6" i="1"/>
  <c r="F9" i="1"/>
  <c r="F8" i="1"/>
  <c r="F7" i="1"/>
</calcChain>
</file>

<file path=xl/sharedStrings.xml><?xml version="1.0" encoding="utf-8"?>
<sst xmlns="http://schemas.openxmlformats.org/spreadsheetml/2006/main" count="91" uniqueCount="30">
  <si>
    <t>Product ID</t>
  </si>
  <si>
    <t>Product Name</t>
  </si>
  <si>
    <t>Seller Name</t>
  </si>
  <si>
    <t>Qty Sold</t>
  </si>
  <si>
    <t>Laptop</t>
  </si>
  <si>
    <t>Mobile</t>
  </si>
  <si>
    <t>Iron Board</t>
  </si>
  <si>
    <t>Mouse</t>
  </si>
  <si>
    <t>Keyboard</t>
  </si>
  <si>
    <t>Monitor</t>
  </si>
  <si>
    <t>Charger</t>
  </si>
  <si>
    <t>Adapter</t>
  </si>
  <si>
    <t>Toy</t>
  </si>
  <si>
    <t>Remote</t>
  </si>
  <si>
    <t>Arun</t>
  </si>
  <si>
    <t>Shyam</t>
  </si>
  <si>
    <t>Ram</t>
  </si>
  <si>
    <t>Rahul</t>
  </si>
  <si>
    <t>Hiren</t>
  </si>
  <si>
    <t>Piyush</t>
  </si>
  <si>
    <t>Ashish</t>
  </si>
  <si>
    <t>Puneet</t>
  </si>
  <si>
    <t>Adarsh</t>
  </si>
  <si>
    <t>Ankit</t>
  </si>
  <si>
    <t>Row</t>
  </si>
  <si>
    <t>Column</t>
  </si>
  <si>
    <t xml:space="preserve">Product Id </t>
  </si>
  <si>
    <t>Index</t>
  </si>
  <si>
    <t xml:space="preserve">Match 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</si>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</sst>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4FA2-DD13-4080-9993-77776AE76893}">
  <dimension ref="A1:L13"/>
  <sheetViews>
    <sheetView topLeftCell="D1" zoomScale="190" zoomScaleNormal="190" workbookViewId="0">
      <selection activeCell="K3" sqref="K3"/>
    </sheetView>
  </sheetViews>
  <sheetFormatPr defaultRowHeight="15" x14ac:dyDescent="0.25"/>
  <cols>
    <col min="1" max="1" width="11.42578125" bestFit="1" customWidth="1"/>
    <col min="2" max="2" width="15.28515625" bestFit="1" customWidth="1"/>
    <col min="3" max="3" width="12.7109375" bestFit="1" customWidth="1"/>
    <col min="4" max="4" width="9.42578125" bestFit="1" customWidth="1"/>
    <col min="6" max="6" width="11.85546875" bestFit="1" customWidth="1"/>
    <col min="9" max="9" width="11.42578125" bestFit="1" customWidth="1"/>
    <col min="10" max="10" width="15.28515625" bestFit="1" customWidth="1"/>
    <col min="11" max="11" width="12.7109375" bestFit="1" customWidth="1"/>
    <col min="12" max="12" width="9.42578125" bestFit="1" customWidth="1"/>
  </cols>
  <sheetData>
    <row r="1" spans="1:12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12" ht="15.75" x14ac:dyDescent="0.25">
      <c r="A2" s="3">
        <v>101</v>
      </c>
      <c r="B2" s="3" t="s">
        <v>4</v>
      </c>
      <c r="C2" s="3" t="s">
        <v>14</v>
      </c>
      <c r="D2" s="3">
        <v>20</v>
      </c>
      <c r="F2" t="s">
        <v>24</v>
      </c>
      <c r="G2" s="4" t="s">
        <v>25</v>
      </c>
      <c r="J2" t="s">
        <v>26</v>
      </c>
      <c r="K2" t="s">
        <v>2</v>
      </c>
    </row>
    <row r="3" spans="1:12" ht="15.75" x14ac:dyDescent="0.25">
      <c r="A3" s="3">
        <v>102</v>
      </c>
      <c r="B3" s="3" t="s">
        <v>5</v>
      </c>
      <c r="C3" s="3" t="s">
        <v>15</v>
      </c>
      <c r="D3" s="3">
        <v>15</v>
      </c>
      <c r="J3">
        <v>103</v>
      </c>
      <c r="K3" t="str">
        <f>INDEX(A1:D11,MATCH(J3,A1:A11,0), 3)</f>
        <v>Ram</v>
      </c>
    </row>
    <row r="4" spans="1:12" ht="15.75" x14ac:dyDescent="0.25">
      <c r="A4" s="3">
        <v>103</v>
      </c>
      <c r="B4" s="3" t="s">
        <v>6</v>
      </c>
      <c r="C4" s="3" t="s">
        <v>16</v>
      </c>
      <c r="D4" s="3">
        <v>18</v>
      </c>
    </row>
    <row r="5" spans="1:12" ht="15.75" x14ac:dyDescent="0.25">
      <c r="A5" s="3">
        <v>104</v>
      </c>
      <c r="B5" s="3" t="s">
        <v>7</v>
      </c>
      <c r="C5" s="3" t="s">
        <v>17</v>
      </c>
      <c r="D5" s="3">
        <v>21</v>
      </c>
      <c r="H5">
        <v>105</v>
      </c>
    </row>
    <row r="6" spans="1:12" ht="15.75" x14ac:dyDescent="0.25">
      <c r="A6" s="3">
        <v>105</v>
      </c>
      <c r="B6" s="3" t="s">
        <v>8</v>
      </c>
      <c r="C6" s="3" t="s">
        <v>18</v>
      </c>
      <c r="D6" s="3">
        <v>24</v>
      </c>
      <c r="F6">
        <f>INDEX(A1:A11,3)</f>
        <v>102</v>
      </c>
      <c r="H6">
        <f>MATCH(H5,A1:A11,1)</f>
        <v>6</v>
      </c>
    </row>
    <row r="7" spans="1:12" ht="15.75" x14ac:dyDescent="0.25">
      <c r="A7" s="3">
        <v>106</v>
      </c>
      <c r="B7" s="3" t="s">
        <v>9</v>
      </c>
      <c r="C7" s="3" t="s">
        <v>19</v>
      </c>
      <c r="D7" s="3">
        <v>14</v>
      </c>
      <c r="F7" t="str">
        <f>INDEX(A1:D1,,3)</f>
        <v>Seller Name</v>
      </c>
    </row>
    <row r="8" spans="1:12" ht="15.75" x14ac:dyDescent="0.25">
      <c r="A8" s="3">
        <v>107</v>
      </c>
      <c r="B8" s="3" t="s">
        <v>10</v>
      </c>
      <c r="C8" s="3" t="s">
        <v>20</v>
      </c>
      <c r="D8" s="3">
        <v>26</v>
      </c>
      <c r="F8" t="str">
        <f>INDEX(A1:D11,3,3)</f>
        <v>Shyam</v>
      </c>
    </row>
    <row r="9" spans="1:12" ht="15.75" x14ac:dyDescent="0.25">
      <c r="A9" s="3">
        <v>108</v>
      </c>
      <c r="B9" s="3" t="s">
        <v>11</v>
      </c>
      <c r="C9" s="3" t="s">
        <v>21</v>
      </c>
      <c r="D9" s="3">
        <v>19</v>
      </c>
      <c r="F9" t="str">
        <f>INDEX(A1:D11,,2)</f>
        <v>Adapter</v>
      </c>
      <c r="I9" s="2" t="s">
        <v>0</v>
      </c>
    </row>
    <row r="10" spans="1:12" ht="15.75" x14ac:dyDescent="0.25">
      <c r="A10" s="3">
        <v>109</v>
      </c>
      <c r="B10" s="3" t="s">
        <v>12</v>
      </c>
      <c r="C10" s="3" t="s">
        <v>22</v>
      </c>
      <c r="D10" s="3">
        <v>22</v>
      </c>
      <c r="I10">
        <v>103</v>
      </c>
    </row>
    <row r="11" spans="1:12" ht="15.75" x14ac:dyDescent="0.25">
      <c r="A11" s="3">
        <v>110</v>
      </c>
      <c r="B11" s="3" t="s">
        <v>13</v>
      </c>
      <c r="C11" s="3" t="s">
        <v>23</v>
      </c>
      <c r="D11" s="3">
        <v>28</v>
      </c>
    </row>
    <row r="12" spans="1:12" ht="15.75" x14ac:dyDescent="0.25">
      <c r="I12" s="2" t="s">
        <v>0</v>
      </c>
      <c r="J12" s="2" t="s">
        <v>1</v>
      </c>
      <c r="K12" s="2" t="s">
        <v>2</v>
      </c>
      <c r="L12" s="2" t="s">
        <v>3</v>
      </c>
    </row>
    <row r="13" spans="1:12" x14ac:dyDescent="0.25">
      <c r="I13" s="1">
        <f>INDEX($A$2:$D$11,MATCH($I$10,$A$2:$A$11,0),COLUMN(A1))</f>
        <v>103</v>
      </c>
      <c r="J13" s="1" t="str">
        <f t="shared" ref="J13:L13" si="0">INDEX($A$2:$D$11,MATCH($I$10,$A$2:$A$11,0),COLUMN(B1))</f>
        <v>Iron Board</v>
      </c>
      <c r="K13" s="1" t="str">
        <f t="shared" si="0"/>
        <v>Ram</v>
      </c>
      <c r="L13" s="1">
        <f t="shared" si="0"/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3882-08D8-4650-B78F-2BC719A8540D}">
  <dimension ref="A1:I11"/>
  <sheetViews>
    <sheetView zoomScale="175" zoomScaleNormal="175" workbookViewId="0">
      <selection activeCell="E18" sqref="E18"/>
    </sheetView>
  </sheetViews>
  <sheetFormatPr defaultRowHeight="15" x14ac:dyDescent="0.25"/>
  <cols>
    <col min="1" max="1" width="12.28515625" customWidth="1"/>
    <col min="2" max="2" width="14.28515625" customWidth="1"/>
    <col min="3" max="3" width="13.85546875" customWidth="1"/>
    <col min="4" max="4" width="11.140625" customWidth="1"/>
  </cols>
  <sheetData>
    <row r="1" spans="1:9" ht="31.5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9" ht="15.75" x14ac:dyDescent="0.25">
      <c r="A2" s="6">
        <v>101</v>
      </c>
      <c r="B2" s="6" t="s">
        <v>4</v>
      </c>
      <c r="C2" s="6" t="s">
        <v>14</v>
      </c>
      <c r="D2" s="6">
        <v>20</v>
      </c>
      <c r="I2">
        <v>102</v>
      </c>
    </row>
    <row r="3" spans="1:9" ht="15.75" x14ac:dyDescent="0.25">
      <c r="A3" s="6">
        <v>102</v>
      </c>
      <c r="B3" s="6" t="s">
        <v>5</v>
      </c>
      <c r="C3" s="6" t="s">
        <v>15</v>
      </c>
      <c r="D3" s="6">
        <v>15</v>
      </c>
      <c r="G3">
        <f>INDEX($A$2:$D$11, MATCH($I$2, $A$2:$A$11, 0), COLUMN(A1))</f>
        <v>102</v>
      </c>
    </row>
    <row r="4" spans="1:9" ht="15.75" x14ac:dyDescent="0.25">
      <c r="A4" s="6">
        <v>103</v>
      </c>
      <c r="B4" s="6" t="s">
        <v>6</v>
      </c>
      <c r="C4" s="6" t="s">
        <v>16</v>
      </c>
      <c r="D4" s="6">
        <v>18</v>
      </c>
    </row>
    <row r="5" spans="1:9" ht="15.75" x14ac:dyDescent="0.25">
      <c r="A5" s="6">
        <v>104</v>
      </c>
      <c r="B5" s="6" t="s">
        <v>7</v>
      </c>
      <c r="C5" s="6" t="s">
        <v>17</v>
      </c>
      <c r="D5" s="6">
        <v>21</v>
      </c>
    </row>
    <row r="6" spans="1:9" ht="15.75" x14ac:dyDescent="0.25">
      <c r="A6" s="6">
        <v>105</v>
      </c>
      <c r="B6" s="6" t="s">
        <v>8</v>
      </c>
      <c r="C6" s="6" t="s">
        <v>18</v>
      </c>
      <c r="D6" s="6">
        <v>24</v>
      </c>
    </row>
    <row r="7" spans="1:9" ht="15.75" x14ac:dyDescent="0.25">
      <c r="A7" s="6">
        <v>106</v>
      </c>
      <c r="B7" s="6" t="s">
        <v>9</v>
      </c>
      <c r="C7" s="6" t="s">
        <v>19</v>
      </c>
      <c r="D7" s="6">
        <v>14</v>
      </c>
    </row>
    <row r="8" spans="1:9" ht="15.75" x14ac:dyDescent="0.25">
      <c r="A8" s="6">
        <v>107</v>
      </c>
      <c r="B8" s="6" t="s">
        <v>10</v>
      </c>
      <c r="C8" s="6" t="s">
        <v>20</v>
      </c>
      <c r="D8" s="6">
        <v>26</v>
      </c>
    </row>
    <row r="9" spans="1:9" ht="15.75" x14ac:dyDescent="0.25">
      <c r="A9" s="6">
        <v>108</v>
      </c>
      <c r="B9" s="6" t="s">
        <v>11</v>
      </c>
      <c r="C9" s="6" t="s">
        <v>21</v>
      </c>
      <c r="D9" s="6">
        <v>19</v>
      </c>
    </row>
    <row r="10" spans="1:9" ht="15.75" x14ac:dyDescent="0.25">
      <c r="A10" s="6">
        <v>109</v>
      </c>
      <c r="B10" s="6" t="s">
        <v>12</v>
      </c>
      <c r="C10" s="6" t="s">
        <v>22</v>
      </c>
      <c r="D10" s="6">
        <v>22</v>
      </c>
    </row>
    <row r="11" spans="1:9" ht="15.75" x14ac:dyDescent="0.25">
      <c r="A11" s="6">
        <v>110</v>
      </c>
      <c r="B11" s="6" t="s">
        <v>13</v>
      </c>
      <c r="C11" s="6" t="s">
        <v>23</v>
      </c>
      <c r="D11" s="6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E035-51A1-47A3-A278-E7B8C13DFEA3}">
  <dimension ref="A1:J12"/>
  <sheetViews>
    <sheetView tabSelected="1" zoomScale="190" zoomScaleNormal="190" workbookViewId="0">
      <selection activeCell="H10" sqref="H10"/>
    </sheetView>
  </sheetViews>
  <sheetFormatPr defaultRowHeight="15" x14ac:dyDescent="0.25"/>
  <cols>
    <col min="1" max="1" width="11.42578125" bestFit="1" customWidth="1"/>
    <col min="2" max="2" width="15.28515625" bestFit="1" customWidth="1"/>
    <col min="3" max="3" width="12.7109375" bestFit="1" customWidth="1"/>
    <col min="4" max="4" width="9.42578125" bestFit="1" customWidth="1"/>
    <col min="6" max="6" width="11.42578125" bestFit="1" customWidth="1"/>
    <col min="7" max="7" width="15.28515625" bestFit="1" customWidth="1"/>
    <col min="8" max="8" width="12.7109375" bestFit="1" customWidth="1"/>
    <col min="9" max="9" width="11.42578125" bestFit="1" customWidth="1"/>
    <col min="10" max="10" width="12.7109375" bestFit="1" customWidth="1"/>
  </cols>
  <sheetData>
    <row r="1" spans="1:10" ht="15.75" x14ac:dyDescent="0.25">
      <c r="A1" s="2" t="s">
        <v>0</v>
      </c>
      <c r="B1" s="2" t="s">
        <v>1</v>
      </c>
      <c r="C1" s="2" t="s">
        <v>2</v>
      </c>
      <c r="D1" s="2" t="s">
        <v>3</v>
      </c>
      <c r="F1" s="7" t="s">
        <v>27</v>
      </c>
      <c r="G1" s="7" t="s">
        <v>28</v>
      </c>
      <c r="H1" s="7" t="s">
        <v>29</v>
      </c>
    </row>
    <row r="2" spans="1:10" ht="15.75" x14ac:dyDescent="0.25">
      <c r="A2" s="3">
        <v>101</v>
      </c>
      <c r="B2" s="3" t="s">
        <v>4</v>
      </c>
      <c r="C2" s="3" t="s">
        <v>14</v>
      </c>
      <c r="D2" s="3">
        <v>20</v>
      </c>
    </row>
    <row r="3" spans="1:10" ht="15.75" x14ac:dyDescent="0.25">
      <c r="A3" s="3">
        <v>102</v>
      </c>
      <c r="B3" s="3" t="s">
        <v>5</v>
      </c>
      <c r="C3" s="3" t="s">
        <v>15</v>
      </c>
      <c r="D3" s="3">
        <v>15</v>
      </c>
    </row>
    <row r="4" spans="1:10" ht="15.75" x14ac:dyDescent="0.25">
      <c r="A4" s="3">
        <v>103</v>
      </c>
      <c r="B4" s="3" t="s">
        <v>6</v>
      </c>
      <c r="C4" s="3" t="s">
        <v>16</v>
      </c>
      <c r="D4" s="3">
        <v>18</v>
      </c>
      <c r="F4">
        <f>INDEX(A1:A11,4)</f>
        <v>103</v>
      </c>
      <c r="I4" s="2" t="s">
        <v>0</v>
      </c>
      <c r="J4" s="2" t="s">
        <v>2</v>
      </c>
    </row>
    <row r="5" spans="1:10" ht="15.75" x14ac:dyDescent="0.25">
      <c r="A5" s="3">
        <v>104</v>
      </c>
      <c r="B5" s="3" t="s">
        <v>7</v>
      </c>
      <c r="C5" s="3" t="s">
        <v>17</v>
      </c>
      <c r="D5" s="3">
        <v>21</v>
      </c>
      <c r="I5">
        <v>102</v>
      </c>
      <c r="J5" t="str">
        <f>INDEX(A1:D11,MATCH(I5,A1:A11,0),3)</f>
        <v>Shyam</v>
      </c>
    </row>
    <row r="6" spans="1:10" ht="15.75" x14ac:dyDescent="0.25">
      <c r="A6" s="3">
        <v>105</v>
      </c>
      <c r="B6" s="3" t="s">
        <v>8</v>
      </c>
      <c r="C6" s="3" t="s">
        <v>18</v>
      </c>
      <c r="D6" s="3">
        <v>24</v>
      </c>
      <c r="F6">
        <f>INDEX(A1:D11,4,4)</f>
        <v>18</v>
      </c>
    </row>
    <row r="7" spans="1:10" ht="15.75" x14ac:dyDescent="0.25">
      <c r="A7" s="3">
        <v>106</v>
      </c>
      <c r="B7" s="3" t="s">
        <v>9</v>
      </c>
      <c r="C7" s="3" t="s">
        <v>19</v>
      </c>
      <c r="D7" s="3">
        <v>14</v>
      </c>
      <c r="G7">
        <v>105</v>
      </c>
    </row>
    <row r="8" spans="1:10" ht="15.75" x14ac:dyDescent="0.25">
      <c r="A8" s="3">
        <v>107</v>
      </c>
      <c r="B8" s="3" t="s">
        <v>10</v>
      </c>
      <c r="C8" s="3" t="s">
        <v>20</v>
      </c>
      <c r="D8" s="3">
        <v>26</v>
      </c>
      <c r="G8">
        <f>MATCH(G7,A1:A11,0)</f>
        <v>6</v>
      </c>
    </row>
    <row r="9" spans="1:10" ht="15.75" x14ac:dyDescent="0.25">
      <c r="A9" s="3">
        <v>108</v>
      </c>
      <c r="B9" s="3" t="s">
        <v>11</v>
      </c>
      <c r="C9" s="3" t="s">
        <v>21</v>
      </c>
      <c r="D9" s="3">
        <v>19</v>
      </c>
      <c r="F9" s="2" t="s">
        <v>0</v>
      </c>
    </row>
    <row r="10" spans="1:10" ht="15.75" x14ac:dyDescent="0.25">
      <c r="A10" s="3">
        <v>109</v>
      </c>
      <c r="B10" s="3" t="s">
        <v>12</v>
      </c>
      <c r="C10" s="3" t="s">
        <v>22</v>
      </c>
      <c r="D10" s="3">
        <v>22</v>
      </c>
      <c r="F10" s="1">
        <v>105</v>
      </c>
    </row>
    <row r="11" spans="1:10" ht="15.75" x14ac:dyDescent="0.25">
      <c r="A11" s="3">
        <v>110</v>
      </c>
      <c r="B11" s="3" t="s">
        <v>13</v>
      </c>
      <c r="C11" s="3" t="s">
        <v>23</v>
      </c>
      <c r="D11" s="3">
        <v>28</v>
      </c>
      <c r="F11" s="2" t="s">
        <v>0</v>
      </c>
      <c r="G11" s="2" t="s">
        <v>1</v>
      </c>
      <c r="H11" s="2" t="s">
        <v>2</v>
      </c>
      <c r="I11" s="2" t="s">
        <v>3</v>
      </c>
    </row>
    <row r="12" spans="1:10" x14ac:dyDescent="0.25">
      <c r="F12" s="1">
        <f>INDEX($A$1:$D$11,MATCH($F$10,$A$1:$A$11,0),COLUMN(A1))</f>
        <v>105</v>
      </c>
      <c r="G12" s="1" t="str">
        <f>INDEX($A$1:$D$11,MATCH($F$10,$A$1:$A$11,0),COLUMN(B1))</f>
        <v>Keyboard</v>
      </c>
      <c r="H12" s="1" t="str">
        <f>INDEX($A$1:$D$11,MATCH($F$10,$A$1:$A$11,0),COLUMN(C1))</f>
        <v>Hiren</v>
      </c>
      <c r="I12" s="1">
        <f>INDEX($A$1:$D$11,MATCH($F$10,$A$1:$A$11,0),COLUMN(D1))</f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2025-10-31T04:45:19Z</dcterms:created>
  <dcterms:modified xsi:type="dcterms:W3CDTF">2025-10-31T05:50:14Z</dcterms:modified>
</cp:coreProperties>
</file>